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Cover" sheetId="1" state="visible" r:id="rId1"/>
    <sheet name="1. Address Map" sheetId="2" state="visible" r:id="rId2"/>
    <sheet name="2. MMIO Decode" sheetId="3" state="visible" r:id="rId3"/>
    <sheet name="3. Register Maps" sheetId="4" state="visible" r:id="rId4"/>
    <sheet name="4. Register Bits" sheetId="5" state="visible" r:id="rId5"/>
    <sheet name="5. Interrupt Map" sheetId="6" state="visible" r:id="rId6"/>
    <sheet name="6. Test-Plan Probes" sheetId="7" state="visible" r:id="rId7"/>
    <sheet name="7. Reserved &amp; Unmapped" sheetId="8" state="visible" r:id="rId8"/>
    <sheet name="8. Open Items" sheetId="9" state="visible" r:id="rId9"/>
    <sheet name="9. Change Log" sheetId="10" state="visible" r:id="rId10"/>
  </sheets>
  <definedNames>
    <definedName localSheetId="0" name="_xlnm.Print_Titles">'Cover'!$2:$2</definedName>
    <definedName hidden="1" localSheetId="1" name="_xlnm._FilterDatabase">'1. Address Map'!$A$4:$R$41</definedName>
    <definedName localSheetId="1" name="_xlnm.Print_Titles">'1. Address Map'!$4:$4</definedName>
    <definedName hidden="1" localSheetId="2" name="_xlnm._FilterDatabase">'2. MMIO Decode'!$A$4:$M$36</definedName>
    <definedName localSheetId="2" name="_xlnm.Print_Titles">'2. MMIO Decode'!$4:$4</definedName>
    <definedName hidden="1" localSheetId="3" name="_xlnm._FilterDatabase">'3. Register Maps'!$A$4:$L$134</definedName>
    <definedName localSheetId="3" name="_xlnm.Print_Titles">'3. Register Maps'!$4:$4</definedName>
    <definedName hidden="1" localSheetId="4" name="_xlnm._FilterDatabase">'4. Register Bits'!$A$4:$J$32</definedName>
    <definedName localSheetId="4" name="_xlnm.Print_Titles">'4. Register Bits'!$4:$4</definedName>
    <definedName hidden="1" localSheetId="5" name="_xlnm._FilterDatabase">'5. Interrupt Map'!$A$4:$K$17</definedName>
    <definedName localSheetId="5" name="_xlnm.Print_Titles">'5. Interrupt Map'!$4:$4</definedName>
    <definedName hidden="1" localSheetId="6" name="_xlnm._FilterDatabase">'6. Test-Plan Probes'!$A$4:$M$38</definedName>
    <definedName localSheetId="6" name="_xlnm.Print_Titles">'6. Test-Plan Probes'!$4:$4</definedName>
    <definedName hidden="1" localSheetId="7" name="_xlnm._FilterDatabase">'7. Reserved &amp; Unmapped'!$A$4:$J$33</definedName>
    <definedName localSheetId="7" name="_xlnm.Print_Titles">'7. Reserved &amp; Unmapped'!$4:$4</definedName>
    <definedName hidden="1" localSheetId="8" name="_xlnm._FilterDatabase">'8. Open Items'!$A$4:$H$30</definedName>
    <definedName localSheetId="8" name="_xlnm.Print_Titles">'8. Open Items'!$4:$4</definedName>
    <definedName hidden="1" localSheetId="9" name="_xlnm._FilterDatabase">'9. Change Log'!$A$4:$K$20</definedName>
    <definedName localSheetId="9" name="_xlnm.Print_Titles">'9. Change Log'!$4:$4</definedName>
  </definedNames>
  <calcPr calcId="124519" fullCalcOnLoad="1"/>
</workbook>
</file>

<file path=xl/styles.xml><?xml version="1.0" encoding="utf-8"?>
<styleSheet xmlns="http://schemas.openxmlformats.org/spreadsheetml/2006/main">
  <numFmts count="2">
    <numFmt formatCode="&quot;0x&quot;00000000" numFmtId="164"/>
    <numFmt formatCode="&quot;0x&quot;0000" numFmtId="165"/>
  </numFmts>
  <fonts count="16">
    <font>
      <name val="Calibri"/>
      <family val="2"/>
      <color theme="1"/>
      <sz val="11"/>
      <scheme val="minor"/>
    </font>
    <font>
      <name val="Calibri"/>
      <b val="1"/>
      <color rgb="001F3864"/>
      <sz val="16"/>
    </font>
    <font>
      <name val="Calibri"/>
      <i val="1"/>
      <color rgb="00595959"/>
      <sz val="10"/>
    </font>
    <font>
      <name val="Calibri"/>
      <b val="1"/>
      <color rgb="00FFFFFF"/>
      <sz val="10"/>
    </font>
    <font>
      <name val="Consolas"/>
      <b val="1"/>
      <sz val="10"/>
    </font>
    <font>
      <name val="Calibri"/>
      <sz val="10"/>
    </font>
    <font>
      <name val="Calibri"/>
      <b val="1"/>
      <sz val="10"/>
    </font>
    <font>
      <name val="Calibri"/>
      <b val="1"/>
      <color rgb="00375623"/>
      <sz val="10"/>
    </font>
    <font>
      <name val="Calibri"/>
      <b val="1"/>
      <color rgb="003F3F3F"/>
      <sz val="10"/>
    </font>
    <font>
      <name val="Calibri"/>
      <b val="1"/>
      <color rgb="001F4E79"/>
      <sz val="10"/>
    </font>
    <font>
      <name val="Calibri"/>
      <b val="1"/>
      <color rgb="007F6000"/>
      <sz val="10"/>
    </font>
    <font>
      <name val="Consolas"/>
      <sz val="10"/>
    </font>
    <font>
      <name val="Calibri"/>
      <i val="1"/>
      <color rgb="00595959"/>
      <sz val="9"/>
    </font>
    <font>
      <name val="Calibri"/>
      <b val="1"/>
      <color rgb="00833C0C"/>
      <sz val="10"/>
    </font>
    <font>
      <name val="Calibri"/>
      <b val="1"/>
      <color rgb="001F3864"/>
      <sz val="18"/>
    </font>
    <font>
      <name val="Calibri"/>
      <b val="1"/>
      <color rgb="00FFFFFF"/>
      <sz val="11"/>
    </font>
  </fonts>
  <fills count="12">
    <fill>
      <patternFill/>
    </fill>
    <fill>
      <patternFill patternType="gray125"/>
    </fill>
    <fill>
      <patternFill patternType="solid">
        <fgColor rgb="001F3864"/>
      </patternFill>
    </fill>
    <fill>
      <patternFill patternType="solid">
        <fgColor rgb="00C6E0B4"/>
      </patternFill>
    </fill>
    <fill>
      <patternFill patternType="solid">
        <fgColor rgb="00EDF2FA"/>
      </patternFill>
    </fill>
    <fill>
      <patternFill patternType="solid">
        <fgColor rgb="00D9D9D9"/>
      </patternFill>
    </fill>
    <fill>
      <patternFill patternType="solid">
        <fgColor rgb="00A9D08E"/>
      </patternFill>
    </fill>
    <fill>
      <patternFill patternType="solid">
        <fgColor rgb="00BDD7EE"/>
      </patternFill>
    </fill>
    <fill>
      <patternFill patternType="solid">
        <fgColor rgb="00FFE699"/>
      </patternFill>
    </fill>
    <fill>
      <patternFill patternType="solid">
        <fgColor rgb="00D9E2F3"/>
      </patternFill>
    </fill>
    <fill>
      <patternFill patternType="solid">
        <fgColor rgb="00F8CBAD"/>
      </patternFill>
    </fill>
    <fill>
      <patternFill patternType="solid">
        <fgColor rgb="002E5C8A"/>
      </patternFill>
    </fill>
  </fills>
  <borders count="8">
    <border>
      <left/>
      <right/>
      <top/>
      <bottom/>
      <diagonal/>
    </border>
    <border>
      <bottom style="medium">
        <color rgb="001F3864"/>
      </bottom>
    </border>
    <border>
      <left style="thin">
        <color rgb="00A6A6A6"/>
      </left>
      <right style="thin">
        <color rgb="00A6A6A6"/>
      </right>
      <top style="thin">
        <color rgb="00A6A6A6"/>
      </top>
      <bottom style="thin">
        <color rgb="00A6A6A6"/>
      </bottom>
    </border>
    <border>
      <left/>
      <right/>
      <top style="thin">
        <color rgb="00A6A6A6"/>
      </top>
      <bottom/>
      <diagonal/>
    </border>
    <border>
      <left/>
      <right style="thin">
        <color rgb="00A6A6A6"/>
      </right>
      <top style="thin">
        <color rgb="00A6A6A6"/>
      </top>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bottom style="thin">
        <color rgb="002E5C8A"/>
      </bottom>
    </border>
  </borders>
  <cellStyleXfs count="1">
    <xf borderId="0" fillId="0" fontId="0" numFmtId="0"/>
  </cellStyleXfs>
  <cellXfs count="69">
    <xf borderId="0" fillId="0" fontId="0" numFmtId="0" pivotButton="0" quotePrefix="0" xfId="0"/>
    <xf applyAlignment="1" borderId="0" fillId="0" fontId="14" numFmtId="0" pivotButton="0" quotePrefix="0" xfId="0">
      <alignment vertical="center" wrapText="1"/>
    </xf>
    <xf borderId="0" fillId="0" fontId="2" numFmtId="0" pivotButton="0" quotePrefix="0" xfId="0"/>
    <xf applyAlignment="1" borderId="2" fillId="9" fontId="6" numFmtId="0" pivotButton="0" quotePrefix="0" xfId="0">
      <alignment horizontal="left" vertical="top"/>
    </xf>
    <xf applyAlignment="1" borderId="2" fillId="0" fontId="5" numFmtId="0" pivotButton="0" quotePrefix="0" xfId="0">
      <alignment vertical="top" wrapText="1"/>
    </xf>
    <xf borderId="2" fillId="0" fontId="0" numFmtId="0" pivotButton="0" quotePrefix="0" xfId="0"/>
    <xf applyAlignment="1" borderId="0" fillId="11" fontId="15" numFmtId="0" pivotButton="0" quotePrefix="0" xfId="0">
      <alignment horizontal="left" vertical="top"/>
    </xf>
    <xf borderId="0" fillId="11" fontId="0" numFmtId="0" pivotButton="0" quotePrefix="0" xfId="0"/>
    <xf applyAlignment="1" borderId="0" fillId="3" fontId="7" numFmtId="0" pivotButton="0" quotePrefix="0" xfId="0">
      <alignment horizontal="center" vertical="top" wrapText="1"/>
    </xf>
    <xf applyAlignment="1" borderId="0" fillId="6" fontId="7" numFmtId="0" pivotButton="0" quotePrefix="0" xfId="0">
      <alignment horizontal="center" vertical="top" wrapText="1"/>
    </xf>
    <xf applyAlignment="1" borderId="0" fillId="8" fontId="10" numFmtId="0" pivotButton="0" quotePrefix="0" xfId="0">
      <alignment horizontal="center" vertical="top" wrapText="1"/>
    </xf>
    <xf applyAlignment="1" borderId="0" fillId="5" fontId="8" numFmtId="0" pivotButton="0" quotePrefix="0" xfId="0">
      <alignment horizontal="center" vertical="top" wrapText="1"/>
    </xf>
    <xf applyAlignment="1" borderId="0" fillId="7" fontId="9" numFmtId="0" pivotButton="0" quotePrefix="0" xfId="0">
      <alignment horizontal="center" vertical="top" wrapText="1"/>
    </xf>
    <xf applyAlignment="1" borderId="0" fillId="10" fontId="13" numFmtId="0" pivotButton="0" quotePrefix="0" xfId="0">
      <alignment horizontal="center" vertical="top" wrapText="1"/>
    </xf>
    <xf applyAlignment="1" borderId="0" fillId="0" fontId="12" numFmtId="0" pivotButton="0" quotePrefix="0" xfId="0">
      <alignment vertical="top" wrapText="1"/>
    </xf>
    <xf applyAlignment="1" borderId="0" fillId="0" fontId="1" numFmtId="0" pivotButton="0" quotePrefix="0" xfId="0">
      <alignment horizontal="left" vertical="top"/>
    </xf>
    <xf applyAlignment="1" borderId="1" fillId="0" fontId="2" numFmtId="0" pivotButton="0" quotePrefix="0" xfId="0">
      <alignment vertical="top" wrapText="1"/>
    </xf>
    <xf borderId="1" fillId="0" fontId="0" numFmtId="0" pivotButton="0" quotePrefix="0" xfId="0"/>
    <xf applyAlignment="1" borderId="2" fillId="2" fontId="3" numFmtId="0" pivotButton="0" quotePrefix="0" xfId="0">
      <alignment horizontal="center" vertical="top" wrapText="1"/>
    </xf>
    <xf applyAlignment="1" borderId="2" fillId="0" fontId="4" numFmtId="0" pivotButton="0" quotePrefix="0" xfId="0">
      <alignment horizontal="left" vertical="top"/>
    </xf>
    <xf applyAlignment="1" borderId="2" fillId="0" fontId="5" numFmtId="0" pivotButton="0" quotePrefix="0" xfId="0">
      <alignment horizontal="left" vertical="top"/>
    </xf>
    <xf applyAlignment="1" borderId="2" fillId="0" fontId="6" numFmtId="0" pivotButton="0" quotePrefix="0" xfId="0">
      <alignment horizontal="left" vertical="top"/>
    </xf>
    <xf applyAlignment="1" borderId="2" fillId="0" fontId="4" numFmtId="164" pivotButton="0" quotePrefix="0" xfId="0">
      <alignment horizontal="center" vertical="top"/>
    </xf>
    <xf applyAlignment="1" borderId="2" fillId="0" fontId="5" numFmtId="3" pivotButton="0" quotePrefix="0" xfId="0">
      <alignment horizontal="right" vertical="top"/>
    </xf>
    <xf applyAlignment="1" borderId="2" fillId="0" fontId="5" numFmtId="0" pivotButton="0" quotePrefix="0" xfId="0">
      <alignment horizontal="center" vertical="top"/>
    </xf>
    <xf applyAlignment="1" borderId="2" fillId="0" fontId="4" numFmtId="0" pivotButton="0" quotePrefix="0" xfId="0">
      <alignment horizontal="center" vertical="top"/>
    </xf>
    <xf applyAlignment="1" borderId="2" fillId="0" fontId="4" numFmtId="3" pivotButton="0" quotePrefix="0" xfId="0">
      <alignment horizontal="center" vertical="top"/>
    </xf>
    <xf applyAlignment="1" borderId="2" fillId="0" fontId="5" numFmtId="0" pivotButton="0" quotePrefix="0" xfId="0">
      <alignment horizontal="center" vertical="top" wrapText="1"/>
    </xf>
    <xf applyAlignment="1" borderId="2" fillId="3" fontId="7" numFmtId="0" pivotButton="0" quotePrefix="0" xfId="0">
      <alignment horizontal="center" vertical="top" wrapText="1"/>
    </xf>
    <xf applyAlignment="1" borderId="2" fillId="4" fontId="4" numFmtId="0" pivotButton="0" quotePrefix="0" xfId="0">
      <alignment horizontal="left" vertical="top"/>
    </xf>
    <xf applyAlignment="1" borderId="2" fillId="4" fontId="5" numFmtId="0" pivotButton="0" quotePrefix="0" xfId="0">
      <alignment horizontal="left" vertical="top"/>
    </xf>
    <xf applyAlignment="1" borderId="2" fillId="4" fontId="6" numFmtId="0" pivotButton="0" quotePrefix="0" xfId="0">
      <alignment horizontal="left" vertical="top"/>
    </xf>
    <xf applyAlignment="1" borderId="2" fillId="4" fontId="5" numFmtId="0" pivotButton="0" quotePrefix="0" xfId="0">
      <alignment vertical="top" wrapText="1"/>
    </xf>
    <xf applyAlignment="1" borderId="2" fillId="4" fontId="4" numFmtId="164" pivotButton="0" quotePrefix="0" xfId="0">
      <alignment horizontal="center" vertical="top"/>
    </xf>
    <xf applyAlignment="1" borderId="2" fillId="4" fontId="5" numFmtId="3" pivotButton="0" quotePrefix="0" xfId="0">
      <alignment horizontal="right" vertical="top"/>
    </xf>
    <xf applyAlignment="1" borderId="2" fillId="4" fontId="5" numFmtId="0" pivotButton="0" quotePrefix="0" xfId="0">
      <alignment horizontal="center" vertical="top"/>
    </xf>
    <xf applyAlignment="1" borderId="2" fillId="4" fontId="4" numFmtId="0" pivotButton="0" quotePrefix="0" xfId="0">
      <alignment horizontal="center" vertical="top"/>
    </xf>
    <xf applyAlignment="1" borderId="2" fillId="4" fontId="4" numFmtId="3" pivotButton="0" quotePrefix="0" xfId="0">
      <alignment horizontal="center" vertical="top"/>
    </xf>
    <xf applyAlignment="1" borderId="2" fillId="4" fontId="5" numFmtId="0" pivotButton="0" quotePrefix="0" xfId="0">
      <alignment horizontal="center" vertical="top" wrapText="1"/>
    </xf>
    <xf applyAlignment="1" borderId="2" fillId="5" fontId="8" numFmtId="0" pivotButton="0" quotePrefix="0" xfId="0">
      <alignment horizontal="center" vertical="top" wrapText="1"/>
    </xf>
    <xf applyAlignment="1" borderId="2" fillId="6" fontId="7" numFmtId="0" pivotButton="0" quotePrefix="0" xfId="0">
      <alignment horizontal="center" vertical="top" wrapText="1"/>
    </xf>
    <xf applyAlignment="1" borderId="2" fillId="7" fontId="9" numFmtId="0" pivotButton="0" quotePrefix="0" xfId="0">
      <alignment horizontal="center" vertical="top" wrapText="1"/>
    </xf>
    <xf applyAlignment="1" borderId="2" fillId="8" fontId="10" numFmtId="0" pivotButton="0" quotePrefix="0" xfId="0">
      <alignment horizontal="center" vertical="top" wrapText="1"/>
    </xf>
    <xf applyAlignment="1" borderId="2" fillId="9" fontId="6" numFmtId="0" pivotButton="0" quotePrefix="0" xfId="0">
      <alignment horizontal="right" vertical="top"/>
    </xf>
    <xf borderId="5" fillId="0" fontId="0" numFmtId="0" pivotButton="0" quotePrefix="0" xfId="0"/>
    <xf borderId="6" fillId="0" fontId="0" numFmtId="0" pivotButton="0" quotePrefix="0" xfId="0"/>
    <xf applyAlignment="1" borderId="2" fillId="9" fontId="6" numFmtId="0" pivotButton="0" quotePrefix="0" xfId="0">
      <alignment horizontal="center" vertical="top"/>
    </xf>
    <xf borderId="2" fillId="9" fontId="0" numFmtId="0" pivotButton="0" quotePrefix="0" xfId="0"/>
    <xf applyAlignment="1" borderId="2" fillId="9" fontId="6" numFmtId="0" pivotButton="0" quotePrefix="0" xfId="0">
      <alignment vertical="top" wrapText="1"/>
    </xf>
    <xf applyAlignment="1" borderId="2" fillId="0" fontId="5" numFmtId="3" pivotButton="0" quotePrefix="0" xfId="0">
      <alignment horizontal="center" vertical="top"/>
    </xf>
    <xf applyAlignment="1" borderId="2" fillId="0" fontId="11" numFmtId="0" pivotButton="0" quotePrefix="0" xfId="0">
      <alignment horizontal="center" vertical="top"/>
    </xf>
    <xf applyAlignment="1" borderId="2" fillId="0" fontId="6" numFmtId="0" pivotButton="0" quotePrefix="0" xfId="0">
      <alignment horizontal="center" vertical="top" wrapText="1"/>
    </xf>
    <xf applyAlignment="1" borderId="2" fillId="0" fontId="11" numFmtId="0" pivotButton="0" quotePrefix="0" xfId="0">
      <alignment vertical="top" wrapText="1"/>
    </xf>
    <xf applyAlignment="1" borderId="2" fillId="4" fontId="5" numFmtId="3" pivotButton="0" quotePrefix="0" xfId="0">
      <alignment horizontal="center" vertical="top"/>
    </xf>
    <xf applyAlignment="1" borderId="2" fillId="4" fontId="11" numFmtId="0" pivotButton="0" quotePrefix="0" xfId="0">
      <alignment horizontal="center" vertical="top"/>
    </xf>
    <xf applyAlignment="1" borderId="2" fillId="4" fontId="6" numFmtId="0" pivotButton="0" quotePrefix="0" xfId="0">
      <alignment horizontal="center" vertical="top" wrapText="1"/>
    </xf>
    <xf applyAlignment="1" borderId="2" fillId="4" fontId="11" numFmtId="0" pivotButton="0" quotePrefix="0" xfId="0">
      <alignment vertical="top" wrapText="1"/>
    </xf>
    <xf applyAlignment="1" borderId="2" fillId="0" fontId="4" numFmtId="165" pivotButton="0" quotePrefix="0" xfId="0">
      <alignment horizontal="center" vertical="top"/>
    </xf>
    <xf applyAlignment="1" borderId="2" fillId="0" fontId="6" numFmtId="0" pivotButton="0" quotePrefix="0" xfId="0">
      <alignment horizontal="center" vertical="top"/>
    </xf>
    <xf applyAlignment="1" borderId="2" fillId="4" fontId="4" numFmtId="165" pivotButton="0" quotePrefix="0" xfId="0">
      <alignment horizontal="center" vertical="top"/>
    </xf>
    <xf applyAlignment="1" borderId="2" fillId="4" fontId="6" numFmtId="0" pivotButton="0" quotePrefix="0" xfId="0">
      <alignment horizontal="center" vertical="top"/>
    </xf>
    <xf borderId="7" fillId="0" fontId="0" numFmtId="0" pivotButton="0" quotePrefix="0" xfId="0"/>
    <xf applyAlignment="1" borderId="2" fillId="10" fontId="13" numFmtId="0" pivotButton="0" quotePrefix="0" xfId="0">
      <alignment horizontal="center" vertical="top" wrapText="1"/>
    </xf>
    <xf applyAlignment="1" borderId="2" fillId="9" fontId="6" numFmtId="3" pivotButton="0" quotePrefix="0" xfId="0">
      <alignment horizontal="right" vertical="top"/>
    </xf>
    <xf applyAlignment="1" borderId="2" fillId="0" fontId="6" numFmtId="0" pivotButton="0" quotePrefix="0" xfId="0">
      <alignment vertical="top" wrapText="1"/>
    </xf>
    <xf applyAlignment="1" borderId="2" fillId="10" fontId="13" numFmtId="0" pivotButton="0" quotePrefix="0" xfId="0">
      <alignment horizontal="center" vertical="top"/>
    </xf>
    <xf applyAlignment="1" borderId="2" fillId="4" fontId="6" numFmtId="0" pivotButton="0" quotePrefix="0" xfId="0">
      <alignment vertical="top" wrapText="1"/>
    </xf>
    <xf applyAlignment="1" borderId="2" fillId="6" fontId="7" numFmtId="0" pivotButton="0" quotePrefix="0" xfId="0">
      <alignment horizontal="center" vertical="top"/>
    </xf>
    <xf applyAlignment="1" borderId="2" fillId="8" fontId="10"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xl/worksheets/sheet7.xml" Type="http://schemas.openxmlformats.org/officeDocument/2006/relationships/worksheet" /><Relationship Id="rId8" Target="/xl/worksheets/sheet8.xml" Type="http://schemas.openxmlformats.org/officeDocument/2006/relationships/worksheet" /><Relationship Id="rId9" Target="/xl/worksheets/sheet9.xml" Type="http://schemas.openxmlformats.org/officeDocument/2006/relationships/worksheet" /><Relationship Id="rId10" Target="/xl/worksheets/sheet10.xml" Type="http://schemas.openxmlformats.org/officeDocument/2006/relationships/worksheet" /><Relationship Id="rId11" Target="styles.xml" Type="http://schemas.openxmlformats.org/officeDocument/2006/relationships/styles" /><Relationship Id="rId12"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B2:G42"/>
  <sheetViews>
    <sheetView showGridLines="0" workbookViewId="0">
      <selection activeCell="A1" sqref="A1"/>
    </sheetView>
  </sheetViews>
  <sheetFormatPr baseColWidth="8" defaultRowHeight="15"/>
  <cols>
    <col customWidth="1" max="1" min="1" width="3"/>
    <col customWidth="1" max="2" min="2" width="34"/>
    <col customWidth="1" max="3" min="3" width="46"/>
    <col customWidth="1" max="4" min="4" width="30"/>
    <col customWidth="1" max="5" min="5" width="22"/>
    <col customWidth="1" max="6" min="6" width="18"/>
    <col customWidth="1" max="7" min="7" width="18"/>
  </cols>
  <sheetData>
    <row customHeight="1" ht="26" r="2">
      <c r="B2" s="1" t="inlineStr">
        <is>
          <t>Secure Network Telemetry and Edge Processing SoC
SoC Address Map</t>
        </is>
      </c>
    </row>
    <row customHeight="1" ht="22" r="3"/>
    <row r="4">
      <c r="B4" s="2" t="inlineStr">
        <is>
          <t>Rev B - peripheral aperture re-pitched to 8 KB (4 KB window + 4 KB guard). No two peripherals are adjacent.</t>
        </is>
      </c>
    </row>
    <row customHeight="1" ht="15" r="6">
      <c r="B6" s="3" t="inlineStr">
        <is>
          <t>Document title</t>
        </is>
      </c>
      <c r="C6" s="4" t="inlineStr">
        <is>
          <t>SoC Address Map - Secure Network Telemetry and Edge Processing SoC</t>
        </is>
      </c>
      <c r="D6" s="5" t="n"/>
      <c r="E6" s="5" t="n"/>
      <c r="F6" s="5" t="n"/>
      <c r="G6" s="5" t="n"/>
    </row>
    <row customHeight="1" ht="15" r="7">
      <c r="B7" s="3" t="inlineStr">
        <is>
          <t>Project</t>
        </is>
      </c>
      <c r="C7" s="4" t="inlineStr">
        <is>
          <t>Network_Telemetry_SoC - VeeR EL2 RV32IMC, 64-bit AHB-Lite system bus</t>
        </is>
      </c>
      <c r="D7" s="5" t="n"/>
      <c r="E7" s="5" t="n"/>
      <c r="F7" s="5" t="n"/>
      <c r="G7" s="5" t="n"/>
    </row>
    <row customHeight="1" ht="15" r="8">
      <c r="B8" s="3" t="inlineStr">
        <is>
          <t>Document ID</t>
        </is>
      </c>
      <c r="C8" s="4" t="inlineStr">
        <is>
          <t>NTS-ARC-002</t>
        </is>
      </c>
      <c r="D8" s="5" t="n"/>
      <c r="E8" s="5" t="n"/>
      <c r="F8" s="5" t="n"/>
      <c r="G8" s="5" t="n"/>
    </row>
    <row customHeight="1" ht="15" r="9">
      <c r="B9" s="3" t="inlineStr">
        <is>
          <t>Revision</t>
        </is>
      </c>
      <c r="C9" s="4" t="inlineStr">
        <is>
          <t>B (Re-pitched MMIO aperture, draft for Architecture Freeze)</t>
        </is>
      </c>
      <c r="D9" s="5" t="n"/>
      <c r="E9" s="5" t="n"/>
      <c r="F9" s="5" t="n"/>
      <c r="G9" s="5" t="n"/>
    </row>
    <row customHeight="1" ht="15" r="10">
      <c r="B10" s="3" t="inlineStr">
        <is>
          <t>Date</t>
        </is>
      </c>
      <c r="C10" s="4" t="inlineStr">
        <is>
          <t>2026-10-03</t>
        </is>
      </c>
      <c r="D10" s="5" t="n"/>
      <c r="E10" s="5" t="n"/>
      <c r="F10" s="5" t="n"/>
      <c r="G10" s="5" t="n"/>
    </row>
    <row customHeight="1" ht="15" r="11">
      <c r="B11" s="3" t="inlineStr">
        <is>
          <t>Status</t>
        </is>
      </c>
      <c r="C11" s="4" t="inlineStr">
        <is>
          <t>DRAFT - planning baseline. Items marked PROPOSED / RESERVED / DRAFT are NOT frozen.</t>
        </is>
      </c>
      <c r="D11" s="5" t="n"/>
      <c r="E11" s="5" t="n"/>
      <c r="F11" s="5" t="n"/>
      <c r="G11" s="5" t="n"/>
    </row>
    <row customHeight="1" ht="28" r="12">
      <c r="B12" s="3" t="inlineStr">
        <is>
          <t>WHAT CHANGED IN REV B</t>
        </is>
      </c>
      <c r="C12" s="4" t="inlineStr">
        <is>
          <t>Peripheral aperture re-pitched from 4 KB contiguous to 8 KB: every 4 KB peripheral window is now followed by a 4 KB GUARD window. 15 of 16 windows moved. UART is the only fixed point at 0x10000000 (pinned by RTL). Register offsets are unchanged - only base addresses moved.</t>
        </is>
      </c>
      <c r="D12" s="5" t="n"/>
      <c r="E12" s="5" t="n"/>
      <c r="F12" s="5" t="n"/>
      <c r="G12" s="5" t="n"/>
    </row>
    <row customHeight="1" ht="28" r="13">
      <c r="B13" s="3" t="inlineStr">
        <is>
          <t>APERTURE</t>
        </is>
      </c>
      <c r="C13" s="4" t="inlineStr">
        <is>
          <t>IMEM 0x00000000-0x0000FFFF (32 KB used). DMEM 0x00010000-0x00017FFF (32 KB). Peripherals 0x10000000-0x1001FFFF (128 KB = 16 x 8 KB). High hole 0x10020000-0xFFFFFFFF.</t>
        </is>
      </c>
      <c r="D13" s="5" t="n"/>
      <c r="E13" s="5" t="n"/>
      <c r="F13" s="5" t="n"/>
      <c r="G13" s="5" t="n"/>
    </row>
    <row customHeight="1" ht="28" r="14">
      <c r="B14" s="3" t="inlineStr">
        <is>
          <t>Primary source</t>
        </is>
      </c>
      <c r="C14" s="4" t="inlineStr">
        <is>
          <t>doc/Group_SoC_docs/RISC_V_Secure_Network_Telemetry_SoC_Initial_Project_Plan.md  (section 18)</t>
        </is>
      </c>
      <c r="D14" s="5" t="n"/>
      <c r="E14" s="5" t="n"/>
      <c r="F14" s="5" t="n"/>
      <c r="G14" s="5" t="n"/>
    </row>
    <row customHeight="1" ht="15" r="15">
      <c r="B15" s="3" t="inlineStr">
        <is>
          <t>Baseline source</t>
        </is>
      </c>
      <c r="C15" s="4" t="inlineStr">
        <is>
          <t>doc/RISC_V_Network_Telemetry_SoC_Architecture_Document_v3.md  (sections 9, 10, 12)</t>
        </is>
      </c>
      <c r="D15" s="5" t="n"/>
      <c r="E15" s="5" t="n"/>
      <c r="F15" s="5" t="n"/>
      <c r="G15" s="5" t="n"/>
    </row>
    <row customHeight="1" ht="15" r="16">
      <c r="B16" s="3" t="inlineStr">
        <is>
          <t>RTL source of truth</t>
        </is>
      </c>
      <c r="C16" s="4" t="inlineStr">
        <is>
          <t>rtl/soc_top.sv, rtl/ahb/ahb_interconnect.sv, rtl/ahb/ahb_to_axi_bridge.sv,</t>
        </is>
      </c>
      <c r="D16" s="5" t="n"/>
      <c r="E16" s="5" t="n"/>
      <c r="F16" s="5" t="n"/>
      <c r="G16" s="5" t="n"/>
    </row>
    <row customHeight="1" ht="28" r="17">
      <c r="B17" s="3" t="inlineStr"/>
      <c r="C17" s="4" t="inlineStr">
        <is>
          <t>rtl/interconnects/axi_interconnect_wrap_2x8.v, rtl/uart/uart_axi_slave.v, rtl/aes/aes_axi_slave.v</t>
        </is>
      </c>
      <c r="D17" s="5" t="n"/>
      <c r="E17" s="5" t="n"/>
      <c r="F17" s="5" t="n"/>
      <c r="G17" s="5" t="n"/>
    </row>
    <row customHeight="1" ht="28" r="18">
      <c r="B18" s="3" t="inlineStr">
        <is>
          <t>Supersedes</t>
        </is>
      </c>
      <c r="C18" s="4" t="inlineStr">
        <is>
          <t>doc/RISC_V_Network_Telemetry_SoC_Port_List.md (single 8-window map, pre-extension) and Rev A of this workbook</t>
        </is>
      </c>
      <c r="D18" s="5" t="n"/>
      <c r="E18" s="5" t="n"/>
      <c r="F18" s="5" t="n"/>
      <c r="G18" s="5" t="n"/>
    </row>
    <row customHeight="1" ht="15" r="19">
      <c r="B19" s="3" t="inlineStr">
        <is>
          <t>Next revision trigger</t>
        </is>
      </c>
      <c r="C19" s="4" t="inlineStr">
        <is>
          <t>Phase 0 Architecture Freeze completion (plan section 29)</t>
        </is>
      </c>
      <c r="D19" s="5" t="n"/>
      <c r="E19" s="5" t="n"/>
      <c r="F19" s="5" t="n"/>
      <c r="G19" s="5" t="n"/>
    </row>
    <row r="21">
      <c r="B21" s="6" t="inlineStr">
        <is>
          <t>STATUS LEGEND</t>
        </is>
      </c>
      <c r="C21" s="7" t="n"/>
      <c r="D21" s="7" t="n"/>
      <c r="E21" s="7" t="n"/>
      <c r="F21" s="7" t="n"/>
      <c r="G21" s="7" t="n"/>
    </row>
    <row customHeight="1" ht="15" r="22">
      <c r="B22" s="8" t="inlineStr">
        <is>
          <t>FROZEN</t>
        </is>
      </c>
      <c r="C22" s="4" t="inlineStr">
        <is>
          <t>Address is fixed by an approved specification. Do not change without a controlled design change.</t>
        </is>
      </c>
      <c r="D22" s="5" t="n"/>
      <c r="E22" s="5" t="n"/>
      <c r="F22" s="5" t="n"/>
      <c r="G22" s="5" t="n"/>
    </row>
    <row customHeight="1" ht="15" r="23">
      <c r="B23" s="8" t="inlineStr">
        <is>
          <t>BASELINE</t>
        </is>
      </c>
      <c r="C23" s="4" t="inlineStr">
        <is>
          <t>Carried from the v3 architecture baseline; verified in RTL.</t>
        </is>
      </c>
      <c r="D23" s="5" t="n"/>
      <c r="E23" s="5" t="n"/>
      <c r="F23" s="5" t="n"/>
      <c r="G23" s="5" t="n"/>
    </row>
    <row customHeight="1" ht="15" r="24">
      <c r="B24" s="9" t="inlineStr">
        <is>
          <t>VERIFIED</t>
        </is>
      </c>
      <c r="C24" s="4" t="inlineStr">
        <is>
          <t>Present in RTL and covered by a passing regression.</t>
        </is>
      </c>
      <c r="D24" s="5" t="n"/>
      <c r="E24" s="5" t="n"/>
      <c r="F24" s="5" t="n"/>
      <c r="G24" s="5" t="n"/>
    </row>
    <row customHeight="1" ht="15" r="25">
      <c r="B25" s="10" t="inlineStr">
        <is>
          <t>PROPOSED</t>
        </is>
      </c>
      <c r="C25" s="4" t="inlineStr">
        <is>
          <t>Planning value from plan section 18. Explicitly NOT frozen.</t>
        </is>
      </c>
      <c r="D25" s="5" t="n"/>
      <c r="E25" s="5" t="n"/>
      <c r="F25" s="5" t="n"/>
      <c r="G25" s="5" t="n"/>
    </row>
    <row customHeight="1" ht="15" r="26">
      <c r="B26" s="11" t="inlineStr">
        <is>
          <t>RESERVED</t>
        </is>
      </c>
      <c r="C26" s="4" t="inlineStr">
        <is>
          <t>Claimed by a block that has no approved register map. Assignment itself is provisional.</t>
        </is>
      </c>
      <c r="D26" s="5" t="n"/>
      <c r="E26" s="5" t="n"/>
      <c r="F26" s="5" t="n"/>
      <c r="G26" s="5" t="n"/>
    </row>
    <row customHeight="1" ht="15" r="27">
      <c r="B27" s="10" t="inlineStr">
        <is>
          <t>DRAFT</t>
        </is>
      </c>
      <c r="C27" s="4" t="inlineStr">
        <is>
          <t>Register or field definition proposed in this workbook. Not from any specification.</t>
        </is>
      </c>
      <c r="D27" s="5" t="n"/>
      <c r="E27" s="5" t="n"/>
      <c r="F27" s="5" t="n"/>
      <c r="G27" s="5" t="n"/>
    </row>
    <row customHeight="1" ht="15" r="28">
      <c r="B28" s="12" t="inlineStr">
        <is>
          <t>GUARD</t>
        </is>
      </c>
      <c r="C28" s="4" t="inlineStr">
        <is>
          <t>NEW IN REV B. Deliberately unassigned isolation window. Must stay undecoded and return ERROR.</t>
        </is>
      </c>
      <c r="D28" s="5" t="n"/>
      <c r="E28" s="5" t="n"/>
      <c r="F28" s="5" t="n"/>
      <c r="G28" s="5" t="n"/>
    </row>
    <row customHeight="1" ht="15" r="29">
      <c r="B29" s="13" t="inlineStr">
        <is>
          <t>HOLE</t>
        </is>
      </c>
      <c r="C29" s="4" t="inlineStr">
        <is>
          <t>No slave decodes this range. Access reaches the AHB ERROR / default slave.</t>
        </is>
      </c>
      <c r="D29" s="5" t="n"/>
      <c r="E29" s="5" t="n"/>
      <c r="F29" s="5" t="n"/>
      <c r="G29" s="5" t="n"/>
    </row>
    <row r="31">
      <c r="B31" s="6" t="inlineStr">
        <is>
          <t>SHEET INDEX</t>
        </is>
      </c>
      <c r="C31" s="7" t="n"/>
      <c r="D31" s="7" t="n"/>
      <c r="E31" s="7" t="n"/>
      <c r="F31" s="7" t="n"/>
      <c r="G31" s="7" t="n"/>
    </row>
    <row customHeight="1" ht="15" r="32">
      <c r="B32" s="3" t="inlineStr">
        <is>
          <t>1. Address Map</t>
        </is>
      </c>
      <c r="C32" s="4" t="inlineStr">
        <is>
          <t>Complete Rev B address map: every start, end, size, guard and hole.</t>
        </is>
      </c>
      <c r="D32" s="5" t="n"/>
      <c r="E32" s="5" t="n"/>
      <c r="F32" s="5" t="n"/>
      <c r="G32" s="5" t="n"/>
    </row>
    <row customHeight="1" ht="15" r="33">
      <c r="B33" s="3" t="inlineStr">
        <is>
          <t>2. MMIO Decode</t>
        </is>
      </c>
      <c r="C33" s="4" t="inlineStr">
        <is>
          <t>Per-window fabric mapping: AHB slave port and AXI window, with decode status today.</t>
        </is>
      </c>
      <c r="D33" s="5" t="n"/>
      <c r="E33" s="5" t="n"/>
      <c r="F33" s="5" t="n"/>
      <c r="G33" s="5" t="n"/>
    </row>
    <row customHeight="1" ht="15" r="34">
      <c r="B34" s="3" t="inlineStr">
        <is>
          <t>3. Register Maps</t>
        </is>
      </c>
      <c r="C34" s="4" t="inlineStr">
        <is>
          <t>Offset-level register map per peripheral, with Rev B absolute addresses.</t>
        </is>
      </c>
      <c r="D34" s="5" t="n"/>
      <c r="E34" s="5" t="n"/>
      <c r="F34" s="5" t="n"/>
      <c r="G34" s="5" t="n"/>
    </row>
    <row customHeight="1" ht="15" r="35">
      <c r="B35" s="3" t="inlineStr">
        <is>
          <t>4. Register Bits</t>
        </is>
      </c>
      <c r="C35" s="4" t="inlineStr">
        <is>
          <t>Field-level definitions for blocks with implemented RTL.</t>
        </is>
      </c>
      <c r="D35" s="5" t="n"/>
      <c r="E35" s="5" t="n"/>
      <c r="F35" s="5" t="n"/>
      <c r="G35" s="5" t="n"/>
    </row>
    <row customHeight="1" ht="15" r="36">
      <c r="B36" s="3" t="inlineStr">
        <is>
          <t>5. Interrupt Map</t>
        </is>
      </c>
      <c r="C36" s="4" t="inlineStr">
        <is>
          <t>VeeR PIC source IDs, conditions, enable and clear semantics.</t>
        </is>
      </c>
      <c r="D36" s="5" t="n"/>
      <c r="E36" s="5" t="n"/>
      <c r="F36" s="5" t="n"/>
      <c r="G36" s="5" t="n"/>
    </row>
    <row customHeight="1" ht="15" r="37">
      <c r="B37" s="3" t="inlineStr">
        <is>
          <t>6. Test-Plan Probes</t>
        </is>
      </c>
      <c r="C37" s="4" t="inlineStr">
        <is>
          <t>Boundary probe addresses and expected slave selection, per window and per guard.</t>
        </is>
      </c>
      <c r="D37" s="5" t="n"/>
      <c r="E37" s="5" t="n"/>
      <c r="F37" s="5" t="n"/>
      <c r="G37" s="5" t="n"/>
    </row>
    <row customHeight="1" ht="15" r="38">
      <c r="B38" s="3" t="inlineStr">
        <is>
          <t>7. Reserved &amp; Unmapped</t>
        </is>
      </c>
      <c r="C38" s="4" t="inlineStr">
        <is>
          <t>Holes, guard windows and reserved ranges, with a live 2^32 completeness proof.</t>
        </is>
      </c>
      <c r="D38" s="5" t="n"/>
      <c r="E38" s="5" t="n"/>
      <c r="F38" s="5" t="n"/>
      <c r="G38" s="5" t="n"/>
    </row>
    <row customHeight="1" ht="15" r="39">
      <c r="B39" s="3" t="inlineStr">
        <is>
          <t>8. Open Items</t>
        </is>
      </c>
      <c r="C39" s="4" t="inlineStr">
        <is>
          <t>26 items that must be resolved before this map can be called frozen.</t>
        </is>
      </c>
      <c r="D39" s="5" t="n"/>
      <c r="E39" s="5" t="n"/>
      <c r="F39" s="5" t="n"/>
      <c r="G39" s="5" t="n"/>
    </row>
    <row customHeight="1" ht="15" r="40">
      <c r="B40" s="3" t="inlineStr">
        <is>
          <t>9. Change Log</t>
        </is>
      </c>
      <c r="C40" s="4" t="inlineStr">
        <is>
          <t>Rev A to Rev B: every address that moved and its consequence.</t>
        </is>
      </c>
      <c r="D40" s="5" t="n"/>
      <c r="E40" s="5" t="n"/>
      <c r="F40" s="5" t="n"/>
      <c r="G40" s="5" t="n"/>
    </row>
    <row customHeight="1" ht="42" r="42">
      <c r="B42" s="14" t="inlineStr">
        <is>
          <t>ADDRESS NOTATION.  All addresses are stored as numeric values and displayed in canonical 32-bit hex with an 0x prefix, for example 0x10008000. The specification documents write the same value with an underscore every four hex digits (0x1000_8000); the two forms are identical. Numeric storage is deliberate so the check formulas recompute instead of being typed in by hand.</t>
        </is>
      </c>
    </row>
  </sheetData>
  <mergeCells count="36">
    <mergeCell ref="C27:G27"/>
    <mergeCell ref="C35:G35"/>
    <mergeCell ref="B4:G4"/>
    <mergeCell ref="C14:G14"/>
    <mergeCell ref="C34:G34"/>
    <mergeCell ref="C24:G24"/>
    <mergeCell ref="C25:G25"/>
    <mergeCell ref="C7:G7"/>
    <mergeCell ref="C12:G12"/>
    <mergeCell ref="C13:G13"/>
    <mergeCell ref="C32:G32"/>
    <mergeCell ref="B2:G3"/>
    <mergeCell ref="C40:G40"/>
    <mergeCell ref="C6:G6"/>
    <mergeCell ref="C38:G38"/>
    <mergeCell ref="C23:G23"/>
    <mergeCell ref="C28:G28"/>
    <mergeCell ref="C29:G29"/>
    <mergeCell ref="C37:G37"/>
    <mergeCell ref="C18:G18"/>
    <mergeCell ref="C22:G22"/>
    <mergeCell ref="C10:G10"/>
    <mergeCell ref="C39:G39"/>
    <mergeCell ref="C11:G11"/>
    <mergeCell ref="C19:G19"/>
    <mergeCell ref="C16:G16"/>
    <mergeCell ref="C15:G15"/>
    <mergeCell ref="C17:G17"/>
    <mergeCell ref="C33:G33"/>
    <mergeCell ref="B21:G21"/>
    <mergeCell ref="B42:G42"/>
    <mergeCell ref="C8:G8"/>
    <mergeCell ref="B31:G31"/>
    <mergeCell ref="C26:G26"/>
    <mergeCell ref="C9:G9"/>
    <mergeCell ref="C36:G36"/>
  </mergeCells>
  <printOptions horizontalCentered="1"/>
  <pageMargins bottom="0.4" footer="0.5" header="0.5" left="0.3" right="0.3" top="0.4"/>
  <pageSetup fitToHeight="0" fitToWidth="1" orientation="portrait"/>
  <headerFooter>
    <oddHeader/>
    <oddFooter>&amp;C&amp;8 &amp;A  |  Rev B (Re-pitched MMIO aperture, draft for Architecture Freeze)  |  Page &amp;P of &amp;N</oddFooter>
    <evenHeader/>
    <evenFooter/>
    <firstHeader/>
    <firstFooter/>
  </headerFooter>
</worksheet>
</file>

<file path=xl/worksheets/sheet2.xml><?xml version="1.0" encoding="utf-8"?>
<worksheet xmlns="http://schemas.openxmlformats.org/spreadsheetml/2006/main">
  <sheetPr>
    <tabColor rgb="00375623"/>
    <outlinePr summaryBelow="1" summaryRight="1"/>
    <pageSetUpPr fitToPage="1"/>
  </sheetPr>
  <dimension ref="A1:R43"/>
  <sheetViews>
    <sheetView showGridLines="0" workbookViewId="0">
      <pane activePane="bottomRight" state="frozen" topLeftCell="E5" xSplit="4" ySplit="4"/>
      <selection pane="topRight"/>
      <selection pane="bottomLeft"/>
      <selection activeCell="A1" pane="bottomRight" sqref="A1"/>
    </sheetView>
  </sheetViews>
  <sheetFormatPr baseColWidth="8" defaultRowHeight="15"/>
  <cols>
    <col customWidth="1" max="1" min="1" width="9"/>
    <col customWidth="1" max="2" min="2" width="20"/>
    <col customWidth="1" max="3" min="3" width="26"/>
    <col customWidth="1" max="4" min="4" width="34"/>
    <col customWidth="1" max="5" min="5" width="14"/>
    <col customWidth="1" max="6" min="6" width="14"/>
    <col customWidth="1" max="7" min="7" width="12"/>
    <col customWidth="1" max="8" min="8" width="11"/>
    <col customWidth="1" max="9" min="9" width="12"/>
    <col customWidth="1" max="10" min="10" width="11"/>
    <col customWidth="1" max="11" min="11" width="12"/>
    <col customWidth="1" max="12" min="12" width="12"/>
    <col customWidth="1" max="13" min="13" width="13"/>
    <col customWidth="1" max="14" min="14" width="26"/>
    <col customWidth="1" max="15" min="15" width="26"/>
    <col customWidth="1" max="16" min="16" width="13"/>
    <col customWidth="1" max="17" min="17" width="24"/>
    <col customWidth="1" max="18" min="18" width="48"/>
  </cols>
  <sheetData>
    <row customHeight="1" ht="22" r="1">
      <c r="A1" s="15" t="inlineStr">
        <is>
          <t>1. SoC Address Map</t>
        </is>
      </c>
    </row>
    <row customHeight="1" ht="40" r="2">
      <c r="A2" s="16" t="inlineStr">
        <is>
          <t>Complete 32-bit physical address map, Rev B. The peripheral aperture is re-pitched to 8 KB: every 4 KB peripheral window is followed by a 4 KB GUARD window, so no two peripherals are ever adjacent. UART is pinned at 0x10000000 by RTL. The check row proves End = Start + Size - 1 for every row, and assigned windows plus sheet 7 account for exactly 2^32 bytes.</t>
        </is>
      </c>
      <c r="B2" s="17" t="n"/>
      <c r="C2" s="17" t="n"/>
      <c r="D2" s="17" t="n"/>
      <c r="E2" s="17" t="n"/>
      <c r="F2" s="17" t="n"/>
      <c r="G2" s="17" t="n"/>
      <c r="H2" s="17" t="n"/>
      <c r="I2" s="17" t="n"/>
      <c r="J2" s="17" t="n"/>
      <c r="K2" s="17" t="n"/>
      <c r="L2" s="17" t="n"/>
      <c r="M2" s="17" t="n"/>
      <c r="N2" s="17" t="n"/>
      <c r="O2" s="17" t="n"/>
      <c r="P2" s="17" t="n"/>
      <c r="Q2" s="17" t="n"/>
      <c r="R2" s="17" t="n"/>
    </row>
    <row customHeight="1" ht="34" r="4">
      <c r="A4" s="18" t="inlineStr">
        <is>
          <t>ID</t>
        </is>
      </c>
      <c r="B4" s="18" t="inlineStr">
        <is>
          <t>Address Space</t>
        </is>
      </c>
      <c r="C4" s="18" t="inlineStr">
        <is>
          <t>Block / Instance</t>
        </is>
      </c>
      <c r="D4" s="18" t="inlineStr">
        <is>
          <t>Role in the System</t>
        </is>
      </c>
      <c r="E4" s="18" t="inlineStr">
        <is>
          <t>Start Address</t>
        </is>
      </c>
      <c r="F4" s="18" t="inlineStr">
        <is>
          <t>End Address</t>
        </is>
      </c>
      <c r="G4" s="18" t="inlineStr">
        <is>
          <t>Size (Bytes)</t>
        </is>
      </c>
      <c r="H4" s="18" t="inlineStr">
        <is>
          <t>Size (Human)</t>
        </is>
      </c>
      <c r="I4" s="18" t="inlineStr">
        <is>
          <t>Size (Hex)</t>
        </is>
      </c>
      <c r="J4" s="18" t="inlineStr">
        <is>
          <t>Addr Offset Bits</t>
        </is>
      </c>
      <c r="K4" s="18" t="inlineStr">
        <is>
          <t>Alignment (Bytes)</t>
        </is>
      </c>
      <c r="L4" s="18" t="inlineStr">
        <is>
          <t>CPU Master</t>
        </is>
      </c>
      <c r="M4" s="18" t="inlineStr">
        <is>
          <t>Data Bus Width</t>
        </is>
      </c>
      <c r="N4" s="18" t="inlineStr">
        <is>
          <t>Fabric Port (today)</t>
        </is>
      </c>
      <c r="O4" s="18" t="inlineStr">
        <is>
          <t>Decode Status Today</t>
        </is>
      </c>
      <c r="P4" s="18" t="inlineStr">
        <is>
          <t>Freeze Status</t>
        </is>
      </c>
      <c r="Q4" s="18" t="inlineStr">
        <is>
          <t>Source</t>
        </is>
      </c>
      <c r="R4" s="18" t="inlineStr">
        <is>
          <t>Notes / Test-Plan Notes</t>
        </is>
      </c>
    </row>
    <row customHeight="1" ht="56" r="5">
      <c r="A5" s="19" t="inlineStr">
        <is>
          <t>MEM-01</t>
        </is>
      </c>
      <c r="B5" s="20" t="inlineStr">
        <is>
          <t>Code</t>
        </is>
      </c>
      <c r="C5" s="21" t="inlineStr">
        <is>
          <t>IMEM  (u_imem)</t>
        </is>
      </c>
      <c r="D5" s="4" t="inlineStr">
        <is>
          <t>Instruction fetch / execute; VeeR boot image</t>
        </is>
      </c>
      <c r="E5" s="22" t="n">
        <v>0</v>
      </c>
      <c r="F5" s="22" t="n">
        <v>32767</v>
      </c>
      <c r="G5" s="23" t="n">
        <v>32768</v>
      </c>
      <c r="H5" s="24" t="inlineStr">
        <is>
          <t>32 KB</t>
        </is>
      </c>
      <c r="I5" s="22" t="n">
        <v>32768</v>
      </c>
      <c r="J5" s="25" t="n">
        <v>15</v>
      </c>
      <c r="K5" s="26" t="n">
        <v>32768</v>
      </c>
      <c r="L5" s="24" t="inlineStr">
        <is>
          <t>IFU</t>
        </is>
      </c>
      <c r="M5" s="24" t="inlineStr">
        <is>
          <t>64-bit AHB</t>
        </is>
      </c>
      <c r="N5" s="4" t="inlineStr">
        <is>
          <t>ahb_interconnect -&gt; ahb_sram (imem port)</t>
        </is>
      </c>
      <c r="O5" s="27" t="inlineStr">
        <is>
          <t>DECODED - VERIFIED</t>
        </is>
      </c>
      <c r="P5" s="28" t="inlineStr">
        <is>
          <t>BASELINE</t>
        </is>
      </c>
      <c r="Q5" s="4" t="inlineStr">
        <is>
          <t>v3 s9; rtl/soc_top.sv:119</t>
        </is>
      </c>
      <c r="R5" s="4" t="inlineStr">
        <is>
          <t>ahb_sram SIZE_BYTES=32768, BASE_ADDR=0x0. Boot vector reset_vec=0x00000000, preloaded via $readmemh (IMEM_HEX). Read/execute only. Unchanged in Rev B.</t>
        </is>
      </c>
    </row>
    <row customHeight="1" ht="56" r="6">
      <c r="A6" s="29" t="inlineStr">
        <is>
          <t>GAP-01</t>
        </is>
      </c>
      <c r="B6" s="30" t="inlineStr">
        <is>
          <t>Code</t>
        </is>
      </c>
      <c r="C6" s="31" t="inlineStr">
        <is>
          <t>IMEM upper hole</t>
        </is>
      </c>
      <c r="D6" s="32" t="inlineStr">
        <is>
          <t>Reserved / unused</t>
        </is>
      </c>
      <c r="E6" s="33" t="n">
        <v>32768</v>
      </c>
      <c r="F6" s="33" t="n">
        <v>65535</v>
      </c>
      <c r="G6" s="34" t="n">
        <v>32768</v>
      </c>
      <c r="H6" s="35" t="inlineStr">
        <is>
          <t>32 KB</t>
        </is>
      </c>
      <c r="I6" s="33" t="n">
        <v>32768</v>
      </c>
      <c r="J6" s="36" t="inlineStr">
        <is>
          <t>n/a</t>
        </is>
      </c>
      <c r="K6" s="37" t="n">
        <v>32768</v>
      </c>
      <c r="L6" s="35" t="inlineStr">
        <is>
          <t>IFU</t>
        </is>
      </c>
      <c r="M6" s="35" t="inlineStr">
        <is>
          <t>-</t>
        </is>
      </c>
      <c r="N6" s="32" t="inlineStr">
        <is>
          <t>none (no slave)</t>
        </is>
      </c>
      <c r="O6" s="38" t="inlineStr">
        <is>
          <t>HOLE -&gt; ERROR slave</t>
        </is>
      </c>
      <c r="P6" s="39" t="inlineStr">
        <is>
          <t>RESERVED</t>
        </is>
      </c>
      <c r="Q6" s="32" t="inlineStr">
        <is>
          <t>Derived</t>
        </is>
      </c>
      <c r="R6" s="32" t="inlineStr">
        <is>
          <t>Inside the 64 KB IMEM aperture but beyond the instantiated 32 KB SRAM. Expect the AHB ERROR / default slave. Proves the IMEM match is a size-15 decode, not a bare base compare.</t>
        </is>
      </c>
    </row>
    <row customHeight="1" ht="56" r="7">
      <c r="A7" s="19" t="inlineStr">
        <is>
          <t>MEM-02</t>
        </is>
      </c>
      <c r="B7" s="20" t="inlineStr">
        <is>
          <t>Data</t>
        </is>
      </c>
      <c r="C7" s="21" t="inlineStr">
        <is>
          <t>DMEM  (u_dmem)</t>
        </is>
      </c>
      <c r="D7" s="4" t="inlineStr">
        <is>
          <t>Data / stack / mailbox for firmware; DMA destination</t>
        </is>
      </c>
      <c r="E7" s="22" t="n">
        <v>65536</v>
      </c>
      <c r="F7" s="22" t="n">
        <v>98303</v>
      </c>
      <c r="G7" s="23" t="n">
        <v>32768</v>
      </c>
      <c r="H7" s="24" t="inlineStr">
        <is>
          <t>32 KB</t>
        </is>
      </c>
      <c r="I7" s="22" t="n">
        <v>32768</v>
      </c>
      <c r="J7" s="25" t="n">
        <v>15</v>
      </c>
      <c r="K7" s="26" t="n">
        <v>32768</v>
      </c>
      <c r="L7" s="24" t="inlineStr">
        <is>
          <t>LSU</t>
        </is>
      </c>
      <c r="M7" s="24" t="inlineStr">
        <is>
          <t>64-bit AHB</t>
        </is>
      </c>
      <c r="N7" s="4" t="inlineStr">
        <is>
          <t>ahb_interconnect -&gt; ahb_sram (dmem port)</t>
        </is>
      </c>
      <c r="O7" s="27" t="inlineStr">
        <is>
          <t>DECODED - VERIFIED</t>
        </is>
      </c>
      <c r="P7" s="28" t="inlineStr">
        <is>
          <t>BASELINE</t>
        </is>
      </c>
      <c r="Q7" s="4" t="inlineStr">
        <is>
          <t>v3 s9; rtl/soc_top.sv:130</t>
        </is>
      </c>
      <c r="R7" s="4" t="inlineStr">
        <is>
          <t>ahb_sram SIZE_BYTES=32768, BASE_ADDR=0x00010000. Zero-filled at power-on. Also the DMA target per plan s13 - the DMA master path into this window is not built yet. Unchanged in Rev B.</t>
        </is>
      </c>
    </row>
    <row customHeight="1" ht="56" r="8">
      <c r="A8" s="29" t="inlineStr">
        <is>
          <t>GAP-02</t>
        </is>
      </c>
      <c r="B8" s="30" t="inlineStr">
        <is>
          <t>Data</t>
        </is>
      </c>
      <c r="C8" s="31" t="inlineStr">
        <is>
          <t>Unmapped low region</t>
        </is>
      </c>
      <c r="D8" s="32" t="inlineStr">
        <is>
          <t>No slave; reserved</t>
        </is>
      </c>
      <c r="E8" s="33" t="n">
        <v>98304</v>
      </c>
      <c r="F8" s="33" t="n">
        <v>268435455</v>
      </c>
      <c r="G8" s="34" t="n">
        <v>268337152</v>
      </c>
      <c r="H8" s="35" t="inlineStr">
        <is>
          <t>255.91 MB</t>
        </is>
      </c>
      <c r="I8" s="33" t="n">
        <v>268337152</v>
      </c>
      <c r="J8" s="36" t="inlineStr">
        <is>
          <t>n/a</t>
        </is>
      </c>
      <c r="K8" s="37" t="n">
        <v>32768</v>
      </c>
      <c r="L8" s="35" t="inlineStr">
        <is>
          <t>IFU/LSU</t>
        </is>
      </c>
      <c r="M8" s="35" t="inlineStr">
        <is>
          <t>-</t>
        </is>
      </c>
      <c r="N8" s="32" t="inlineStr">
        <is>
          <t>none (no slave)</t>
        </is>
      </c>
      <c r="O8" s="38" t="inlineStr">
        <is>
          <t>HOLE -&gt; ERROR slave</t>
        </is>
      </c>
      <c r="P8" s="39" t="inlineStr">
        <is>
          <t>RESERVED</t>
        </is>
      </c>
      <c r="Q8" s="32" t="inlineStr">
        <is>
          <t>Derived</t>
        </is>
      </c>
      <c r="R8" s="32" t="inlineStr">
        <is>
          <t>Gap between the DMEM aperture and the peripheral aperture. Two probes are enough: 0x00018000 and 0x0FFFFFFF.</t>
        </is>
      </c>
    </row>
    <row customHeight="1" ht="56" r="9">
      <c r="A9" s="19" t="inlineStr">
        <is>
          <t>MMIO-01</t>
        </is>
      </c>
      <c r="B9" s="20" t="inlineStr">
        <is>
          <t>Peripheral</t>
        </is>
      </c>
      <c r="C9" s="21" t="inlineStr">
        <is>
          <t>UART</t>
        </is>
      </c>
      <c r="D9" s="4" t="inlineStr">
        <is>
          <t>Telemetry, debug and encrypted-result reporting (TX only)</t>
        </is>
      </c>
      <c r="E9" s="22" t="n">
        <v>268435456</v>
      </c>
      <c r="F9" s="22" t="n">
        <v>268439551</v>
      </c>
      <c r="G9" s="23" t="n">
        <v>4096</v>
      </c>
      <c r="H9" s="24" t="inlineStr">
        <is>
          <t>4 KB</t>
        </is>
      </c>
      <c r="I9" s="22" t="n">
        <v>4096</v>
      </c>
      <c r="J9" s="25" t="n">
        <v>12</v>
      </c>
      <c r="K9" s="26" t="n">
        <v>4096</v>
      </c>
      <c r="L9" s="24" t="inlineStr">
        <is>
          <t>LSU</t>
        </is>
      </c>
      <c r="M9" s="24" t="inlineStr">
        <is>
          <t>32-bit via bridge</t>
        </is>
      </c>
      <c r="N9" s="4" t="inlineStr">
        <is>
          <t>ahb_interconnect (uart port) -&gt; ahb_to_axi_bridge -&gt; uart_axi_slave</t>
        </is>
      </c>
      <c r="O9" s="27" t="inlineStr">
        <is>
          <t>DECODED - E2E VERIFIED</t>
        </is>
      </c>
      <c r="P9" s="40" t="inlineStr">
        <is>
          <t>VERIFIED</t>
        </is>
      </c>
      <c r="Q9" s="4" t="inlineStr">
        <is>
          <t>v3 s9; rtl/soc_top.sv:156; rtl/uart/uart_axi_slave.v:141</t>
        </is>
      </c>
      <c r="R9" s="4" t="inlineStr">
        <is>
          <t>PINNED - does not move. UART_BASE = 0x10000000 in RTL and AXI window M02 is parameterised on it, so the Phase-3 end-to-end result stands unchanged. Register map is IP-native (THR/RBR, IER, BAUD with DLAB=1, LCR, LSR), not the v3 s10.1 table - see sheet 3.</t>
        </is>
      </c>
    </row>
    <row customHeight="1" ht="56" r="10">
      <c r="A10" s="29" t="inlineStr">
        <is>
          <t>GRD-01</t>
        </is>
      </c>
      <c r="B10" s="30" t="inlineStr">
        <is>
          <t>Peripheral</t>
        </is>
      </c>
      <c r="C10" s="31" t="inlineStr">
        <is>
          <t>Guard window (unassigned)</t>
        </is>
      </c>
      <c r="D10" s="32" t="inlineStr">
        <is>
          <t>Isolation buffer between adjacent peripherals</t>
        </is>
      </c>
      <c r="E10" s="33" t="n">
        <v>268439552</v>
      </c>
      <c r="F10" s="33" t="n">
        <v>268443647</v>
      </c>
      <c r="G10" s="34" t="n">
        <v>4096</v>
      </c>
      <c r="H10" s="35" t="inlineStr">
        <is>
          <t>4 KB</t>
        </is>
      </c>
      <c r="I10" s="33" t="n">
        <v>4096</v>
      </c>
      <c r="J10" s="36" t="inlineStr">
        <is>
          <t>n/a</t>
        </is>
      </c>
      <c r="K10" s="37" t="n">
        <v>4096</v>
      </c>
      <c r="L10" s="35" t="inlineStr">
        <is>
          <t>LSU</t>
        </is>
      </c>
      <c r="M10" s="35" t="inlineStr">
        <is>
          <t>-</t>
        </is>
      </c>
      <c r="N10" s="32" t="inlineStr">
        <is>
          <t>none (no slave)</t>
        </is>
      </c>
      <c r="O10" s="38" t="inlineStr">
        <is>
          <t>HOLE -&gt; ERROR slave</t>
        </is>
      </c>
      <c r="P10" s="41" t="inlineStr">
        <is>
          <t>GUARD</t>
        </is>
      </c>
      <c r="Q10" s="32" t="inlineStr">
        <is>
          <t>Derived - Rev B</t>
        </is>
      </c>
      <c r="R10" s="32" t="inlineStr">
        <is>
          <t>Deliberately unassigned. No peripheral may claim this window. Isolates UART (0x10000000) from Timer (0x10002000). Expect the AHB ERROR slave. Each guard also gives its peripheral 4 KB of growth room if the register map outgrows 4 KB.</t>
        </is>
      </c>
    </row>
    <row customHeight="1" ht="56" r="11">
      <c r="A11" s="19" t="inlineStr">
        <is>
          <t>MMIO-02</t>
        </is>
      </c>
      <c r="B11" s="20" t="inlineStr">
        <is>
          <t>Peripheral</t>
        </is>
      </c>
      <c r="C11" s="21" t="inlineStr">
        <is>
          <t>Timer</t>
        </is>
      </c>
      <c r="D11" s="4" t="inlineStr">
        <is>
          <t>CPU / system timing; TIMER_IRQ</t>
        </is>
      </c>
      <c r="E11" s="22" t="n">
        <v>268443648</v>
      </c>
      <c r="F11" s="22" t="n">
        <v>268447743</v>
      </c>
      <c r="G11" s="23" t="n">
        <v>4096</v>
      </c>
      <c r="H11" s="24" t="inlineStr">
        <is>
          <t>4 KB</t>
        </is>
      </c>
      <c r="I11" s="22" t="n">
        <v>4096</v>
      </c>
      <c r="J11" s="25" t="n">
        <v>12</v>
      </c>
      <c r="K11" s="26" t="n">
        <v>4096</v>
      </c>
      <c r="L11" s="24" t="inlineStr">
        <is>
          <t>LSU</t>
        </is>
      </c>
      <c r="M11" s="24" t="inlineStr">
        <is>
          <t>32-bit via bridge</t>
        </is>
      </c>
      <c r="N11" s="4" t="inlineStr">
        <is>
          <t>none (window reserved, no RTL)</t>
        </is>
      </c>
      <c r="O11" s="27" t="inlineStr">
        <is>
          <t>NOT DECODED -&gt; ERROR slave</t>
        </is>
      </c>
      <c r="P11" s="28" t="inlineStr">
        <is>
          <t>FROZEN</t>
        </is>
      </c>
      <c r="Q11" s="4" t="inlineStr">
        <is>
          <t>v3 s9, s10.2</t>
        </is>
      </c>
      <c r="R11" s="4" t="inlineStr">
        <is>
          <t>MOVED from 0x10001000 in Rev A. Frozen address in v3 s9, so v3 must be amended. Distinct from the hardware Timestamp Unit at MMIO-08. No RTL and no AHB decode entry exist yet.</t>
        </is>
      </c>
    </row>
    <row customHeight="1" ht="56" r="12">
      <c r="A12" s="29" t="inlineStr">
        <is>
          <t>GRD-02</t>
        </is>
      </c>
      <c r="B12" s="30" t="inlineStr">
        <is>
          <t>Peripheral</t>
        </is>
      </c>
      <c r="C12" s="31" t="inlineStr">
        <is>
          <t>Guard window (unassigned)</t>
        </is>
      </c>
      <c r="D12" s="32" t="inlineStr">
        <is>
          <t>Isolation buffer between adjacent peripherals</t>
        </is>
      </c>
      <c r="E12" s="33" t="n">
        <v>268447744</v>
      </c>
      <c r="F12" s="33" t="n">
        <v>268451839</v>
      </c>
      <c r="G12" s="34" t="n">
        <v>4096</v>
      </c>
      <c r="H12" s="35" t="inlineStr">
        <is>
          <t>4 KB</t>
        </is>
      </c>
      <c r="I12" s="33" t="n">
        <v>4096</v>
      </c>
      <c r="J12" s="36" t="inlineStr">
        <is>
          <t>n/a</t>
        </is>
      </c>
      <c r="K12" s="37" t="n">
        <v>4096</v>
      </c>
      <c r="L12" s="35" t="inlineStr">
        <is>
          <t>LSU</t>
        </is>
      </c>
      <c r="M12" s="35" t="inlineStr">
        <is>
          <t>-</t>
        </is>
      </c>
      <c r="N12" s="32" t="inlineStr">
        <is>
          <t>none (no slave)</t>
        </is>
      </c>
      <c r="O12" s="38" t="inlineStr">
        <is>
          <t>HOLE -&gt; ERROR slave</t>
        </is>
      </c>
      <c r="P12" s="41" t="inlineStr">
        <is>
          <t>GUARD</t>
        </is>
      </c>
      <c r="Q12" s="32" t="inlineStr">
        <is>
          <t>Derived - Rev B</t>
        </is>
      </c>
      <c r="R12" s="32" t="inlineStr">
        <is>
          <t>Deliberately unassigned. No peripheral may claim this window. Isolates Timer (0x10002000) from GPIO (0x10004000). Expect the AHB ERROR slave. Each guard also gives its peripheral 4 KB of growth room if the register map outgrows 4 KB.</t>
        </is>
      </c>
    </row>
    <row customHeight="1" ht="56" r="13">
      <c r="A13" s="19" t="inlineStr">
        <is>
          <t>MMIO-03</t>
        </is>
      </c>
      <c r="B13" s="20" t="inlineStr">
        <is>
          <t>Peripheral</t>
        </is>
      </c>
      <c r="C13" s="21" t="inlineStr">
        <is>
          <t>GPIO</t>
        </is>
      </c>
      <c r="D13" s="4" t="inlineStr">
        <is>
          <t>Status / debug outputs (CPU_ALIVE, PKT_RX, AES_BUSY, PKT_ERR)</t>
        </is>
      </c>
      <c r="E13" s="22" t="n">
        <v>268451840</v>
      </c>
      <c r="F13" s="22" t="n">
        <v>268455935</v>
      </c>
      <c r="G13" s="23" t="n">
        <v>4096</v>
      </c>
      <c r="H13" s="24" t="inlineStr">
        <is>
          <t>4 KB</t>
        </is>
      </c>
      <c r="I13" s="22" t="n">
        <v>4096</v>
      </c>
      <c r="J13" s="25" t="n">
        <v>12</v>
      </c>
      <c r="K13" s="26" t="n">
        <v>4096</v>
      </c>
      <c r="L13" s="24" t="inlineStr">
        <is>
          <t>LSU</t>
        </is>
      </c>
      <c r="M13" s="24" t="inlineStr">
        <is>
          <t>32-bit via bridge</t>
        </is>
      </c>
      <c r="N13" s="4" t="inlineStr">
        <is>
          <t>none (window reserved, no RTL)</t>
        </is>
      </c>
      <c r="O13" s="27" t="inlineStr">
        <is>
          <t>NOT DECODED -&gt; ERROR slave</t>
        </is>
      </c>
      <c r="P13" s="28" t="inlineStr">
        <is>
          <t>FROZEN</t>
        </is>
      </c>
      <c r="Q13" s="4" t="inlineStr">
        <is>
          <t>v3 s9, s10.3</t>
        </is>
      </c>
      <c r="R13" s="4" t="inlineStr">
        <is>
          <t>MOVED from 0x10002000 in Rev A. Frozen address in v3 s9, so v3 must be amended. No RTL and no decode entry.</t>
        </is>
      </c>
    </row>
    <row customHeight="1" ht="56" r="14">
      <c r="A14" s="29" t="inlineStr">
        <is>
          <t>GRD-03</t>
        </is>
      </c>
      <c r="B14" s="30" t="inlineStr">
        <is>
          <t>Peripheral</t>
        </is>
      </c>
      <c r="C14" s="31" t="inlineStr">
        <is>
          <t>Guard window (unassigned)</t>
        </is>
      </c>
      <c r="D14" s="32" t="inlineStr">
        <is>
          <t>Isolation buffer between adjacent peripherals</t>
        </is>
      </c>
      <c r="E14" s="33" t="n">
        <v>268455936</v>
      </c>
      <c r="F14" s="33" t="n">
        <v>268460031</v>
      </c>
      <c r="G14" s="34" t="n">
        <v>4096</v>
      </c>
      <c r="H14" s="35" t="inlineStr">
        <is>
          <t>4 KB</t>
        </is>
      </c>
      <c r="I14" s="33" t="n">
        <v>4096</v>
      </c>
      <c r="J14" s="36" t="inlineStr">
        <is>
          <t>n/a</t>
        </is>
      </c>
      <c r="K14" s="37" t="n">
        <v>4096</v>
      </c>
      <c r="L14" s="35" t="inlineStr">
        <is>
          <t>LSU</t>
        </is>
      </c>
      <c r="M14" s="35" t="inlineStr">
        <is>
          <t>-</t>
        </is>
      </c>
      <c r="N14" s="32" t="inlineStr">
        <is>
          <t>none (no slave)</t>
        </is>
      </c>
      <c r="O14" s="38" t="inlineStr">
        <is>
          <t>HOLE -&gt; ERROR slave</t>
        </is>
      </c>
      <c r="P14" s="41" t="inlineStr">
        <is>
          <t>GUARD</t>
        </is>
      </c>
      <c r="Q14" s="32" t="inlineStr">
        <is>
          <t>Derived - Rev B</t>
        </is>
      </c>
      <c r="R14" s="32" t="inlineStr">
        <is>
          <t>Deliberately unassigned. No peripheral may claim this window. Isolates GPIO (0x10004000) from Network Telemetry Engine (NTE) (0x10006000). Expect the AHB ERROR slave. Each guard also gives its peripheral 4 KB of growth room if the register map outgrows 4 KB.</t>
        </is>
      </c>
    </row>
    <row customHeight="1" ht="56" r="15">
      <c r="A15" s="19" t="inlineStr">
        <is>
          <t>MMIO-04</t>
        </is>
      </c>
      <c r="B15" s="20" t="inlineStr">
        <is>
          <t>Peripheral</t>
        </is>
      </c>
      <c r="C15" s="21" t="inlineStr">
        <is>
          <t>Network Telemetry Engine (NTE)</t>
        </is>
      </c>
      <c r="D15" s="4" t="inlineStr">
        <is>
          <t>Packet / byte / error counters, length, metadata, telemetry snapshot, NET_IRQ</t>
        </is>
      </c>
      <c r="E15" s="22" t="n">
        <v>268460032</v>
      </c>
      <c r="F15" s="22" t="n">
        <v>268464127</v>
      </c>
      <c r="G15" s="23" t="n">
        <v>4096</v>
      </c>
      <c r="H15" s="24" t="inlineStr">
        <is>
          <t>4 KB</t>
        </is>
      </c>
      <c r="I15" s="22" t="n">
        <v>4096</v>
      </c>
      <c r="J15" s="25" t="n">
        <v>12</v>
      </c>
      <c r="K15" s="26" t="n">
        <v>4096</v>
      </c>
      <c r="L15" s="24" t="inlineStr">
        <is>
          <t>LSU</t>
        </is>
      </c>
      <c r="M15" s="24" t="inlineStr">
        <is>
          <t>32-bit via bridge</t>
        </is>
      </c>
      <c r="N15" s="4" t="inlineStr">
        <is>
          <t>none (window reserved, no RTL)</t>
        </is>
      </c>
      <c r="O15" s="27" t="inlineStr">
        <is>
          <t>NOT DECODED -&gt; ERROR slave</t>
        </is>
      </c>
      <c r="P15" s="28" t="inlineStr">
        <is>
          <t>FROZEN</t>
        </is>
      </c>
      <c r="Q15" s="4" t="inlineStr">
        <is>
          <t>v3 s9, s10.4; plan s11</t>
        </is>
      </c>
      <c r="R15" s="4" t="inlineStr">
        <is>
          <t>MOVED from 0x10003000 in Rev A. Frozen address in v3 s9, so v3 must be amended. Largest baseline register map (0x00..0x3C). PIC source ID 1. Project's main custom contribution - plan Phase 4.</t>
        </is>
      </c>
    </row>
    <row customHeight="1" ht="56" r="16">
      <c r="A16" s="29" t="inlineStr">
        <is>
          <t>GRD-04</t>
        </is>
      </c>
      <c r="B16" s="30" t="inlineStr">
        <is>
          <t>Peripheral</t>
        </is>
      </c>
      <c r="C16" s="31" t="inlineStr">
        <is>
          <t>Guard window (unassigned)</t>
        </is>
      </c>
      <c r="D16" s="32" t="inlineStr">
        <is>
          <t>Isolation buffer between adjacent peripherals</t>
        </is>
      </c>
      <c r="E16" s="33" t="n">
        <v>268464128</v>
      </c>
      <c r="F16" s="33" t="n">
        <v>268468223</v>
      </c>
      <c r="G16" s="34" t="n">
        <v>4096</v>
      </c>
      <c r="H16" s="35" t="inlineStr">
        <is>
          <t>4 KB</t>
        </is>
      </c>
      <c r="I16" s="33" t="n">
        <v>4096</v>
      </c>
      <c r="J16" s="36" t="inlineStr">
        <is>
          <t>n/a</t>
        </is>
      </c>
      <c r="K16" s="37" t="n">
        <v>4096</v>
      </c>
      <c r="L16" s="35" t="inlineStr">
        <is>
          <t>LSU</t>
        </is>
      </c>
      <c r="M16" s="35" t="inlineStr">
        <is>
          <t>-</t>
        </is>
      </c>
      <c r="N16" s="32" t="inlineStr">
        <is>
          <t>none (no slave)</t>
        </is>
      </c>
      <c r="O16" s="38" t="inlineStr">
        <is>
          <t>HOLE -&gt; ERROR slave</t>
        </is>
      </c>
      <c r="P16" s="41" t="inlineStr">
        <is>
          <t>GUARD</t>
        </is>
      </c>
      <c r="Q16" s="32" t="inlineStr">
        <is>
          <t>Derived - Rev B</t>
        </is>
      </c>
      <c r="R16" s="32" t="inlineStr">
        <is>
          <t>Deliberately unassigned. No peripheral may claim this window. Isolates Network Telemetry Engine (NTE) (0x10006000) from AES-128 Accelerator (0x10008000). Expect the AHB ERROR slave. Each guard also gives its peripheral 4 KB of growth room if the register map outgrows 4 KB.</t>
        </is>
      </c>
    </row>
    <row customHeight="1" ht="56" r="17">
      <c r="A17" s="19" t="inlineStr">
        <is>
          <t>MMIO-05</t>
        </is>
      </c>
      <c r="B17" s="20" t="inlineStr">
        <is>
          <t>Peripheral</t>
        </is>
      </c>
      <c r="C17" s="21" t="inlineStr">
        <is>
          <t>AES-128 Accelerator</t>
        </is>
      </c>
      <c r="D17" s="4" t="inlineStr">
        <is>
          <t>Encrypt the 128-bit telemetry record</t>
        </is>
      </c>
      <c r="E17" s="22" t="n">
        <v>268468224</v>
      </c>
      <c r="F17" s="22" t="n">
        <v>268472319</v>
      </c>
      <c r="G17" s="23" t="n">
        <v>4096</v>
      </c>
      <c r="H17" s="24" t="inlineStr">
        <is>
          <t>4 KB</t>
        </is>
      </c>
      <c r="I17" s="22" t="n">
        <v>4096</v>
      </c>
      <c r="J17" s="25" t="n">
        <v>12</v>
      </c>
      <c r="K17" s="26" t="n">
        <v>4096</v>
      </c>
      <c r="L17" s="24" t="inlineStr">
        <is>
          <t>LSU</t>
        </is>
      </c>
      <c r="M17" s="24" t="inlineStr">
        <is>
          <t>32-bit via bridge</t>
        </is>
      </c>
      <c r="N17" s="4" t="inlineStr">
        <is>
          <t>none (window reserved, no RTL)</t>
        </is>
      </c>
      <c r="O17" s="27" t="inlineStr">
        <is>
          <t>NOT DECODED -&gt; ERROR slave</t>
        </is>
      </c>
      <c r="P17" s="28" t="inlineStr">
        <is>
          <t>FROZEN</t>
        </is>
      </c>
      <c r="Q17" s="4" t="inlineStr">
        <is>
          <t>v3 s9, s10.5; rtl/aes/aes_axi_slave.v</t>
        </is>
      </c>
      <c r="R17" s="4" t="inlineStr">
        <is>
          <t>MOVED from 0x10004000 in Rev A - this is the most disruptive change in Rev B. The isolated AXI regression logged M06 = 0x10004000, so that log no longer addresses AES and the 2-master run must be re-parameterised and re-run. Recommended new AXI slot is M06 = 0x10008000. Milestone M4.</t>
        </is>
      </c>
    </row>
    <row customHeight="1" ht="56" r="18">
      <c r="A18" s="29" t="inlineStr">
        <is>
          <t>GRD-05</t>
        </is>
      </c>
      <c r="B18" s="30" t="inlineStr">
        <is>
          <t>Peripheral</t>
        </is>
      </c>
      <c r="C18" s="31" t="inlineStr">
        <is>
          <t>Guard window (unassigned)</t>
        </is>
      </c>
      <c r="D18" s="32" t="inlineStr">
        <is>
          <t>Isolation buffer between adjacent peripherals</t>
        </is>
      </c>
      <c r="E18" s="33" t="n">
        <v>268472320</v>
      </c>
      <c r="F18" s="33" t="n">
        <v>268476415</v>
      </c>
      <c r="G18" s="34" t="n">
        <v>4096</v>
      </c>
      <c r="H18" s="35" t="inlineStr">
        <is>
          <t>4 KB</t>
        </is>
      </c>
      <c r="I18" s="33" t="n">
        <v>4096</v>
      </c>
      <c r="J18" s="36" t="inlineStr">
        <is>
          <t>n/a</t>
        </is>
      </c>
      <c r="K18" s="37" t="n">
        <v>4096</v>
      </c>
      <c r="L18" s="35" t="inlineStr">
        <is>
          <t>LSU</t>
        </is>
      </c>
      <c r="M18" s="35" t="inlineStr">
        <is>
          <t>-</t>
        </is>
      </c>
      <c r="N18" s="32" t="inlineStr">
        <is>
          <t>none (no slave)</t>
        </is>
      </c>
      <c r="O18" s="38" t="inlineStr">
        <is>
          <t>HOLE -&gt; ERROR slave</t>
        </is>
      </c>
      <c r="P18" s="41" t="inlineStr">
        <is>
          <t>GUARD</t>
        </is>
      </c>
      <c r="Q18" s="32" t="inlineStr">
        <is>
          <t>Derived - Rev B</t>
        </is>
      </c>
      <c r="R18" s="32" t="inlineStr">
        <is>
          <t>Deliberately unassigned. No peripheral may claim this window. Isolates AES-128 Accelerator (0x10008000) from CRC-32 / FCS Checker (0x1000A000). Expect the AHB ERROR slave. Each guard also gives its peripheral 4 KB of growth room if the register map outgrows 4 KB.</t>
        </is>
      </c>
    </row>
    <row customHeight="1" ht="56" r="19">
      <c r="A19" s="19" t="inlineStr">
        <is>
          <t>MMIO-06</t>
        </is>
      </c>
      <c r="B19" s="20" t="inlineStr">
        <is>
          <t>Peripheral</t>
        </is>
      </c>
      <c r="C19" s="21" t="inlineStr">
        <is>
          <t>CRC-32 / FCS Checker</t>
        </is>
      </c>
      <c r="D19" s="4" t="inlineStr">
        <is>
          <t>Ethernet frame integrity checking</t>
        </is>
      </c>
      <c r="E19" s="22" t="n">
        <v>268476416</v>
      </c>
      <c r="F19" s="22" t="n">
        <v>268480511</v>
      </c>
      <c r="G19" s="23" t="n">
        <v>4096</v>
      </c>
      <c r="H19" s="24" t="inlineStr">
        <is>
          <t>4 KB</t>
        </is>
      </c>
      <c r="I19" s="22" t="n">
        <v>4096</v>
      </c>
      <c r="J19" s="25" t="n">
        <v>12</v>
      </c>
      <c r="K19" s="26" t="n">
        <v>4096</v>
      </c>
      <c r="L19" s="24" t="inlineStr">
        <is>
          <t>LSU</t>
        </is>
      </c>
      <c r="M19" s="24" t="inlineStr">
        <is>
          <t>32-bit via bridge</t>
        </is>
      </c>
      <c r="N19" s="4" t="inlineStr">
        <is>
          <t>none (window reserved, no RTL)</t>
        </is>
      </c>
      <c r="O19" s="27" t="inlineStr">
        <is>
          <t>NOT DECODED -&gt; ERROR slave</t>
        </is>
      </c>
      <c r="P19" s="28" t="inlineStr">
        <is>
          <t>FROZEN</t>
        </is>
      </c>
      <c r="Q19" s="4" t="inlineStr">
        <is>
          <t>v3 s9, s10.6; plan s8</t>
        </is>
      </c>
      <c r="R19" s="4" t="inlineStr">
        <is>
          <t>MOVED from 0x10005000 in Rev A. Frozen address in v3 s9, so v3 must be amended. Dual role: concurrent packet-path checker plus a software register path for init, diagnostics and block-level verification.</t>
        </is>
      </c>
    </row>
    <row customHeight="1" ht="56" r="20">
      <c r="A20" s="29" t="inlineStr">
        <is>
          <t>GRD-06</t>
        </is>
      </c>
      <c r="B20" s="30" t="inlineStr">
        <is>
          <t>Peripheral</t>
        </is>
      </c>
      <c r="C20" s="31" t="inlineStr">
        <is>
          <t>Guard window (unassigned)</t>
        </is>
      </c>
      <c r="D20" s="32" t="inlineStr">
        <is>
          <t>Isolation buffer between adjacent peripherals</t>
        </is>
      </c>
      <c r="E20" s="33" t="n">
        <v>268480512</v>
      </c>
      <c r="F20" s="33" t="n">
        <v>268484607</v>
      </c>
      <c r="G20" s="34" t="n">
        <v>4096</v>
      </c>
      <c r="H20" s="35" t="inlineStr">
        <is>
          <t>4 KB</t>
        </is>
      </c>
      <c r="I20" s="33" t="n">
        <v>4096</v>
      </c>
      <c r="J20" s="36" t="inlineStr">
        <is>
          <t>n/a</t>
        </is>
      </c>
      <c r="K20" s="37" t="n">
        <v>4096</v>
      </c>
      <c r="L20" s="35" t="inlineStr">
        <is>
          <t>LSU</t>
        </is>
      </c>
      <c r="M20" s="35" t="inlineStr">
        <is>
          <t>-</t>
        </is>
      </c>
      <c r="N20" s="32" t="inlineStr">
        <is>
          <t>none (no slave)</t>
        </is>
      </c>
      <c r="O20" s="38" t="inlineStr">
        <is>
          <t>HOLE -&gt; ERROR slave</t>
        </is>
      </c>
      <c r="P20" s="41" t="inlineStr">
        <is>
          <t>GUARD</t>
        </is>
      </c>
      <c r="Q20" s="32" t="inlineStr">
        <is>
          <t>Derived - Rev B</t>
        </is>
      </c>
      <c r="R20" s="32" t="inlineStr">
        <is>
          <t>Deliberately unassigned. No peripheral may claim this window. Isolates CRC-32 / FCS Checker (0x1000A000) from Ethernet MAC (0x1000C000). Expect the AHB ERROR slave. Each guard also gives its peripheral 4 KB of growth room if the register map outgrows 4 KB.</t>
        </is>
      </c>
    </row>
    <row customHeight="1" ht="56" r="21">
      <c r="A21" s="19" t="inlineStr">
        <is>
          <t>MMIO-07</t>
        </is>
      </c>
      <c r="B21" s="20" t="inlineStr">
        <is>
          <t>Peripheral</t>
        </is>
      </c>
      <c r="C21" s="21" t="inlineStr">
        <is>
          <t>Ethernet MAC</t>
        </is>
      </c>
      <c r="D21" s="4" t="inlineStr">
        <is>
          <t>Ethernet RX / TX framing, MAC address config, frame boundaries</t>
        </is>
      </c>
      <c r="E21" s="22" t="n">
        <v>268484608</v>
      </c>
      <c r="F21" s="22" t="n">
        <v>268488703</v>
      </c>
      <c r="G21" s="23" t="n">
        <v>4096</v>
      </c>
      <c r="H21" s="24" t="inlineStr">
        <is>
          <t>4 KB</t>
        </is>
      </c>
      <c r="I21" s="22" t="n">
        <v>4096</v>
      </c>
      <c r="J21" s="25" t="n">
        <v>12</v>
      </c>
      <c r="K21" s="26" t="n">
        <v>4096</v>
      </c>
      <c r="L21" s="24" t="inlineStr">
        <is>
          <t>LSU</t>
        </is>
      </c>
      <c r="M21" s="24" t="inlineStr">
        <is>
          <t>TBC</t>
        </is>
      </c>
      <c r="N21" s="4" t="inlineStr">
        <is>
          <t>none (window reserved, no RTL)</t>
        </is>
      </c>
      <c r="O21" s="27" t="inlineStr">
        <is>
          <t>NOT DECODED -&gt; ERROR slave</t>
        </is>
      </c>
      <c r="P21" s="42" t="inlineStr">
        <is>
          <t>PROPOSED</t>
        </is>
      </c>
      <c r="Q21" s="4" t="inlineStr">
        <is>
          <t>plan s18 (proposed extension)</t>
        </is>
      </c>
      <c r="R21" s="4" t="inlineStr">
        <is>
          <t>MOVED from 0x10006000 in Rev A. Planning value only - plan s18 forbids freezing these before the full map is reviewed.</t>
        </is>
      </c>
    </row>
    <row customHeight="1" ht="56" r="22">
      <c r="A22" s="29" t="inlineStr">
        <is>
          <t>GRD-07</t>
        </is>
      </c>
      <c r="B22" s="30" t="inlineStr">
        <is>
          <t>Peripheral</t>
        </is>
      </c>
      <c r="C22" s="31" t="inlineStr">
        <is>
          <t>Guard window (unassigned)</t>
        </is>
      </c>
      <c r="D22" s="32" t="inlineStr">
        <is>
          <t>Isolation buffer between adjacent peripherals</t>
        </is>
      </c>
      <c r="E22" s="33" t="n">
        <v>268488704</v>
      </c>
      <c r="F22" s="33" t="n">
        <v>268492799</v>
      </c>
      <c r="G22" s="34" t="n">
        <v>4096</v>
      </c>
      <c r="H22" s="35" t="inlineStr">
        <is>
          <t>4 KB</t>
        </is>
      </c>
      <c r="I22" s="33" t="n">
        <v>4096</v>
      </c>
      <c r="J22" s="36" t="inlineStr">
        <is>
          <t>n/a</t>
        </is>
      </c>
      <c r="K22" s="37" t="n">
        <v>4096</v>
      </c>
      <c r="L22" s="35" t="inlineStr">
        <is>
          <t>LSU</t>
        </is>
      </c>
      <c r="M22" s="35" t="inlineStr">
        <is>
          <t>-</t>
        </is>
      </c>
      <c r="N22" s="32" t="inlineStr">
        <is>
          <t>none (no slave)</t>
        </is>
      </c>
      <c r="O22" s="38" t="inlineStr">
        <is>
          <t>HOLE -&gt; ERROR slave</t>
        </is>
      </c>
      <c r="P22" s="41" t="inlineStr">
        <is>
          <t>GUARD</t>
        </is>
      </c>
      <c r="Q22" s="32" t="inlineStr">
        <is>
          <t>Derived - Rev B</t>
        </is>
      </c>
      <c r="R22" s="32" t="inlineStr">
        <is>
          <t>Deliberately unassigned. No peripheral may claim this window. Isolates Ethernet MAC (0x1000C000) from Hardware Timestamp Unit (0x1000E000). Expect the AHB ERROR slave. Each guard also gives its peripheral 4 KB of growth room if the register map outgrows 4 KB.</t>
        </is>
      </c>
    </row>
    <row customHeight="1" ht="56" r="23">
      <c r="A23" s="19" t="inlineStr">
        <is>
          <t>MMIO-08</t>
        </is>
      </c>
      <c r="B23" s="20" t="inlineStr">
        <is>
          <t>Peripheral</t>
        </is>
      </c>
      <c r="C23" s="21" t="inlineStr">
        <is>
          <t>Hardware Timestamp Unit</t>
        </is>
      </c>
      <c r="D23" s="4" t="inlineStr">
        <is>
          <t>64-bit packet/event timestamp capture</t>
        </is>
      </c>
      <c r="E23" s="22" t="n">
        <v>268492800</v>
      </c>
      <c r="F23" s="22" t="n">
        <v>268496895</v>
      </c>
      <c r="G23" s="23" t="n">
        <v>4096</v>
      </c>
      <c r="H23" s="24" t="inlineStr">
        <is>
          <t>4 KB</t>
        </is>
      </c>
      <c r="I23" s="22" t="n">
        <v>4096</v>
      </c>
      <c r="J23" s="25" t="n">
        <v>12</v>
      </c>
      <c r="K23" s="26" t="n">
        <v>4096</v>
      </c>
      <c r="L23" s="24" t="inlineStr">
        <is>
          <t>LSU</t>
        </is>
      </c>
      <c r="M23" s="24" t="inlineStr">
        <is>
          <t>TBC</t>
        </is>
      </c>
      <c r="N23" s="4" t="inlineStr">
        <is>
          <t>none (window reserved, no RTL)</t>
        </is>
      </c>
      <c r="O23" s="27" t="inlineStr">
        <is>
          <t>NOT DECODED -&gt; ERROR slave</t>
        </is>
      </c>
      <c r="P23" s="42" t="inlineStr">
        <is>
          <t>PROPOSED</t>
        </is>
      </c>
      <c r="Q23" s="4" t="inlineStr">
        <is>
          <t>plan s9, s18</t>
        </is>
      </c>
      <c r="R23" s="4" t="inlineStr">
        <is>
          <t>MOVED from 0x10007000 in Rev A. Network data-plane timing, deliberately separate from the system Timer. Capture event and counter width are open items - sheet 8.</t>
        </is>
      </c>
    </row>
    <row customHeight="1" ht="56" r="24">
      <c r="A24" s="29" t="inlineStr">
        <is>
          <t>GRD-08</t>
        </is>
      </c>
      <c r="B24" s="30" t="inlineStr">
        <is>
          <t>Peripheral</t>
        </is>
      </c>
      <c r="C24" s="31" t="inlineStr">
        <is>
          <t>Guard window (unassigned)</t>
        </is>
      </c>
      <c r="D24" s="32" t="inlineStr">
        <is>
          <t>Isolation buffer between adjacent peripherals</t>
        </is>
      </c>
      <c r="E24" s="33" t="n">
        <v>268496896</v>
      </c>
      <c r="F24" s="33" t="n">
        <v>268500991</v>
      </c>
      <c r="G24" s="34" t="n">
        <v>4096</v>
      </c>
      <c r="H24" s="35" t="inlineStr">
        <is>
          <t>4 KB</t>
        </is>
      </c>
      <c r="I24" s="33" t="n">
        <v>4096</v>
      </c>
      <c r="J24" s="36" t="inlineStr">
        <is>
          <t>n/a</t>
        </is>
      </c>
      <c r="K24" s="37" t="n">
        <v>4096</v>
      </c>
      <c r="L24" s="35" t="inlineStr">
        <is>
          <t>LSU</t>
        </is>
      </c>
      <c r="M24" s="35" t="inlineStr">
        <is>
          <t>-</t>
        </is>
      </c>
      <c r="N24" s="32" t="inlineStr">
        <is>
          <t>none (no slave)</t>
        </is>
      </c>
      <c r="O24" s="38" t="inlineStr">
        <is>
          <t>HOLE -&gt; ERROR slave</t>
        </is>
      </c>
      <c r="P24" s="41" t="inlineStr">
        <is>
          <t>GUARD</t>
        </is>
      </c>
      <c r="Q24" s="32" t="inlineStr">
        <is>
          <t>Derived - Rev B</t>
        </is>
      </c>
      <c r="R24" s="32" t="inlineStr">
        <is>
          <t>Deliberately unassigned. No peripheral may claim this window. Isolates Hardware Timestamp Unit (0x1000E000) from Packet / Flow Buffer (0x10010000). Expect the AHB ERROR slave. Each guard also gives its peripheral 4 KB of growth room if the register map outgrows 4 KB.</t>
        </is>
      </c>
    </row>
    <row customHeight="1" ht="56" r="25">
      <c r="A25" s="19" t="inlineStr">
        <is>
          <t>MMIO-09</t>
        </is>
      </c>
      <c r="B25" s="20" t="inlineStr">
        <is>
          <t>Peripheral</t>
        </is>
      </c>
      <c r="C25" s="21" t="inlineStr">
        <is>
          <t>Packet / Flow Buffer</t>
        </is>
      </c>
      <c r="D25" s="4" t="inlineStr">
        <is>
          <t>Packet FIFO, flow records, telemetry and event queue</t>
        </is>
      </c>
      <c r="E25" s="22" t="n">
        <v>268500992</v>
      </c>
      <c r="F25" s="22" t="n">
        <v>268505087</v>
      </c>
      <c r="G25" s="23" t="n">
        <v>4096</v>
      </c>
      <c r="H25" s="24" t="inlineStr">
        <is>
          <t>4 KB</t>
        </is>
      </c>
      <c r="I25" s="22" t="n">
        <v>4096</v>
      </c>
      <c r="J25" s="25" t="n">
        <v>12</v>
      </c>
      <c r="K25" s="26" t="n">
        <v>4096</v>
      </c>
      <c r="L25" s="24" t="inlineStr">
        <is>
          <t>LSU</t>
        </is>
      </c>
      <c r="M25" s="24" t="inlineStr">
        <is>
          <t>TBC</t>
        </is>
      </c>
      <c r="N25" s="4" t="inlineStr">
        <is>
          <t>none (window reserved, no RTL)</t>
        </is>
      </c>
      <c r="O25" s="27" t="inlineStr">
        <is>
          <t>NOT DECODED -&gt; ERROR slave</t>
        </is>
      </c>
      <c r="P25" s="42" t="inlineStr">
        <is>
          <t>PROPOSED</t>
        </is>
      </c>
      <c r="Q25" s="4" t="inlineStr">
        <is>
          <t>plan s12, s18</t>
        </is>
      </c>
      <c r="R25" s="4" t="inlineStr">
        <is>
          <t>MOVED from 0x10008000 in Rev A. Depth, entry width, descriptor format and overflow behaviour must be frozen before RTL.</t>
        </is>
      </c>
    </row>
    <row customHeight="1" ht="56" r="26">
      <c r="A26" s="29" t="inlineStr">
        <is>
          <t>GRD-09</t>
        </is>
      </c>
      <c r="B26" s="30" t="inlineStr">
        <is>
          <t>Peripheral</t>
        </is>
      </c>
      <c r="C26" s="31" t="inlineStr">
        <is>
          <t>Guard window (unassigned)</t>
        </is>
      </c>
      <c r="D26" s="32" t="inlineStr">
        <is>
          <t>Isolation buffer between adjacent peripherals</t>
        </is>
      </c>
      <c r="E26" s="33" t="n">
        <v>268505088</v>
      </c>
      <c r="F26" s="33" t="n">
        <v>268509183</v>
      </c>
      <c r="G26" s="34" t="n">
        <v>4096</v>
      </c>
      <c r="H26" s="35" t="inlineStr">
        <is>
          <t>4 KB</t>
        </is>
      </c>
      <c r="I26" s="33" t="n">
        <v>4096</v>
      </c>
      <c r="J26" s="36" t="inlineStr">
        <is>
          <t>n/a</t>
        </is>
      </c>
      <c r="K26" s="37" t="n">
        <v>4096</v>
      </c>
      <c r="L26" s="35" t="inlineStr">
        <is>
          <t>LSU</t>
        </is>
      </c>
      <c r="M26" s="35" t="inlineStr">
        <is>
          <t>-</t>
        </is>
      </c>
      <c r="N26" s="32" t="inlineStr">
        <is>
          <t>none (no slave)</t>
        </is>
      </c>
      <c r="O26" s="38" t="inlineStr">
        <is>
          <t>HOLE -&gt; ERROR slave</t>
        </is>
      </c>
      <c r="P26" s="41" t="inlineStr">
        <is>
          <t>GUARD</t>
        </is>
      </c>
      <c r="Q26" s="32" t="inlineStr">
        <is>
          <t>Derived - Rev B</t>
        </is>
      </c>
      <c r="R26" s="32" t="inlineStr">
        <is>
          <t>Deliberately unassigned. No peripheral may claim this window. Isolates Packet / Flow Buffer (0x10010000) from DMA Controller (0x10012000). Expect the AHB ERROR slave. Each guard also gives its peripheral 4 KB of growth room if the register map outgrows 4 KB.</t>
        </is>
      </c>
    </row>
    <row customHeight="1" ht="56" r="27">
      <c r="A27" s="19" t="inlineStr">
        <is>
          <t>MMIO-10</t>
        </is>
      </c>
      <c r="B27" s="20" t="inlineStr">
        <is>
          <t>Peripheral</t>
        </is>
      </c>
      <c r="C27" s="21" t="inlineStr">
        <is>
          <t>DMA Controller</t>
        </is>
      </c>
      <c r="D27" s="4" t="inlineStr">
        <is>
          <t>Move buffered packet / telemetry data into DMEM</t>
        </is>
      </c>
      <c r="E27" s="22" t="n">
        <v>268509184</v>
      </c>
      <c r="F27" s="22" t="n">
        <v>268513279</v>
      </c>
      <c r="G27" s="23" t="n">
        <v>4096</v>
      </c>
      <c r="H27" s="24" t="inlineStr">
        <is>
          <t>4 KB</t>
        </is>
      </c>
      <c r="I27" s="22" t="n">
        <v>4096</v>
      </c>
      <c r="J27" s="25" t="n">
        <v>12</v>
      </c>
      <c r="K27" s="26" t="n">
        <v>4096</v>
      </c>
      <c r="L27" s="24" t="inlineStr">
        <is>
          <t>LSU</t>
        </is>
      </c>
      <c r="M27" s="24" t="inlineStr">
        <is>
          <t>TBC</t>
        </is>
      </c>
      <c r="N27" s="4" t="inlineStr">
        <is>
          <t>none (window reserved, no RTL)</t>
        </is>
      </c>
      <c r="O27" s="27" t="inlineStr">
        <is>
          <t>NOT DECODED -&gt; ERROR slave</t>
        </is>
      </c>
      <c r="P27" s="42" t="inlineStr">
        <is>
          <t>PROPOSED</t>
        </is>
      </c>
      <c r="Q27" s="4" t="inlineStr">
        <is>
          <t>plan s13, s18</t>
        </is>
      </c>
      <c r="R27" s="4" t="inlineStr">
        <is>
          <t>MOVED from 0x10009000 in Rev A. Single channel is sufficient for the first milestone; scatter-gather explicitly out of scope.</t>
        </is>
      </c>
    </row>
    <row customHeight="1" ht="56" r="28">
      <c r="A28" s="29" t="inlineStr">
        <is>
          <t>GRD-10</t>
        </is>
      </c>
      <c r="B28" s="30" t="inlineStr">
        <is>
          <t>Peripheral</t>
        </is>
      </c>
      <c r="C28" s="31" t="inlineStr">
        <is>
          <t>Guard window (unassigned)</t>
        </is>
      </c>
      <c r="D28" s="32" t="inlineStr">
        <is>
          <t>Isolation buffer between adjacent peripherals</t>
        </is>
      </c>
      <c r="E28" s="33" t="n">
        <v>268513280</v>
      </c>
      <c r="F28" s="33" t="n">
        <v>268517375</v>
      </c>
      <c r="G28" s="34" t="n">
        <v>4096</v>
      </c>
      <c r="H28" s="35" t="inlineStr">
        <is>
          <t>4 KB</t>
        </is>
      </c>
      <c r="I28" s="33" t="n">
        <v>4096</v>
      </c>
      <c r="J28" s="36" t="inlineStr">
        <is>
          <t>n/a</t>
        </is>
      </c>
      <c r="K28" s="37" t="n">
        <v>4096</v>
      </c>
      <c r="L28" s="35" t="inlineStr">
        <is>
          <t>LSU</t>
        </is>
      </c>
      <c r="M28" s="35" t="inlineStr">
        <is>
          <t>-</t>
        </is>
      </c>
      <c r="N28" s="32" t="inlineStr">
        <is>
          <t>none (no slave)</t>
        </is>
      </c>
      <c r="O28" s="38" t="inlineStr">
        <is>
          <t>HOLE -&gt; ERROR slave</t>
        </is>
      </c>
      <c r="P28" s="41" t="inlineStr">
        <is>
          <t>GUARD</t>
        </is>
      </c>
      <c r="Q28" s="32" t="inlineStr">
        <is>
          <t>Derived - Rev B</t>
        </is>
      </c>
      <c r="R28" s="32" t="inlineStr">
        <is>
          <t>Deliberately unassigned. No peripheral may claim this window. Isolates DMA Controller (0x10012000) from SHA-256 Accelerator (0x10014000). Expect the AHB ERROR slave. Each guard also gives its peripheral 4 KB of growth room if the register map outgrows 4 KB.</t>
        </is>
      </c>
    </row>
    <row customHeight="1" ht="56" r="29">
      <c r="A29" s="19" t="inlineStr">
        <is>
          <t>MMIO-11</t>
        </is>
      </c>
      <c r="B29" s="20" t="inlineStr">
        <is>
          <t>Peripheral</t>
        </is>
      </c>
      <c r="C29" s="21" t="inlineStr">
        <is>
          <t>SHA-256 Accelerator</t>
        </is>
      </c>
      <c r="D29" s="4" t="inlineStr">
        <is>
          <t>Digest / integrity authentication of telemetry</t>
        </is>
      </c>
      <c r="E29" s="22" t="n">
        <v>268517376</v>
      </c>
      <c r="F29" s="22" t="n">
        <v>268521471</v>
      </c>
      <c r="G29" s="23" t="n">
        <v>4096</v>
      </c>
      <c r="H29" s="24" t="inlineStr">
        <is>
          <t>4 KB</t>
        </is>
      </c>
      <c r="I29" s="22" t="n">
        <v>4096</v>
      </c>
      <c r="J29" s="25" t="n">
        <v>12</v>
      </c>
      <c r="K29" s="26" t="n">
        <v>4096</v>
      </c>
      <c r="L29" s="24" t="inlineStr">
        <is>
          <t>LSU</t>
        </is>
      </c>
      <c r="M29" s="24" t="inlineStr">
        <is>
          <t>TBC</t>
        </is>
      </c>
      <c r="N29" s="4" t="inlineStr">
        <is>
          <t>none (window reserved, no RTL)</t>
        </is>
      </c>
      <c r="O29" s="27" t="inlineStr">
        <is>
          <t>NOT DECODED -&gt; ERROR slave</t>
        </is>
      </c>
      <c r="P29" s="42" t="inlineStr">
        <is>
          <t>PROPOSED</t>
        </is>
      </c>
      <c r="Q29" s="4" t="inlineStr">
        <is>
          <t>plan s15, s18</t>
        </is>
      </c>
      <c r="R29" s="4" t="inlineStr">
        <is>
          <t>MOVED from 0x1000A000 in Rev A. Register map is an explicit open item in plan s32. Complement to AES: AES encrypts, SHA-256 digests.</t>
        </is>
      </c>
    </row>
    <row customHeight="1" ht="56" r="30">
      <c r="A30" s="29" t="inlineStr">
        <is>
          <t>GRD-11</t>
        </is>
      </c>
      <c r="B30" s="30" t="inlineStr">
        <is>
          <t>Peripheral</t>
        </is>
      </c>
      <c r="C30" s="31" t="inlineStr">
        <is>
          <t>Guard window (unassigned)</t>
        </is>
      </c>
      <c r="D30" s="32" t="inlineStr">
        <is>
          <t>Isolation buffer between adjacent peripherals</t>
        </is>
      </c>
      <c r="E30" s="33" t="n">
        <v>268521472</v>
      </c>
      <c r="F30" s="33" t="n">
        <v>268525567</v>
      </c>
      <c r="G30" s="34" t="n">
        <v>4096</v>
      </c>
      <c r="H30" s="35" t="inlineStr">
        <is>
          <t>4 KB</t>
        </is>
      </c>
      <c r="I30" s="33" t="n">
        <v>4096</v>
      </c>
      <c r="J30" s="36" t="inlineStr">
        <is>
          <t>n/a</t>
        </is>
      </c>
      <c r="K30" s="37" t="n">
        <v>4096</v>
      </c>
      <c r="L30" s="35" t="inlineStr">
        <is>
          <t>LSU</t>
        </is>
      </c>
      <c r="M30" s="35" t="inlineStr">
        <is>
          <t>-</t>
        </is>
      </c>
      <c r="N30" s="32" t="inlineStr">
        <is>
          <t>none (no slave)</t>
        </is>
      </c>
      <c r="O30" s="38" t="inlineStr">
        <is>
          <t>HOLE -&gt; ERROR slave</t>
        </is>
      </c>
      <c r="P30" s="41" t="inlineStr">
        <is>
          <t>GUARD</t>
        </is>
      </c>
      <c r="Q30" s="32" t="inlineStr">
        <is>
          <t>Derived - Rev B</t>
        </is>
      </c>
      <c r="R30" s="32" t="inlineStr">
        <is>
          <t>Deliberately unassigned. No peripheral may claim this window. Isolates SHA-256 Accelerator (0x10014000) from Packet Parser / Classifier (0x10016000). Expect the AHB ERROR slave. Each guard also gives its peripheral 4 KB of growth room if the register map outgrows 4 KB.</t>
        </is>
      </c>
    </row>
    <row customHeight="1" ht="56" r="31">
      <c r="A31" s="19" t="inlineStr">
        <is>
          <t>MMIO-12</t>
        </is>
      </c>
      <c r="B31" s="20" t="inlineStr">
        <is>
          <t>Peripheral</t>
        </is>
      </c>
      <c r="C31" s="21" t="inlineStr">
        <is>
          <t>Packet Parser / Classifier</t>
        </is>
      </c>
      <c r="D31" s="4" t="inlineStr">
        <is>
          <t>Ethernet II, and later IPv4/UDP, metadata extraction and classification</t>
        </is>
      </c>
      <c r="E31" s="22" t="n">
        <v>268525568</v>
      </c>
      <c r="F31" s="22" t="n">
        <v>268529663</v>
      </c>
      <c r="G31" s="23" t="n">
        <v>4096</v>
      </c>
      <c r="H31" s="24" t="inlineStr">
        <is>
          <t>4 KB</t>
        </is>
      </c>
      <c r="I31" s="22" t="n">
        <v>4096</v>
      </c>
      <c r="J31" s="25" t="n">
        <v>12</v>
      </c>
      <c r="K31" s="26" t="n">
        <v>4096</v>
      </c>
      <c r="L31" s="24" t="inlineStr">
        <is>
          <t>LSU</t>
        </is>
      </c>
      <c r="M31" s="24" t="inlineStr">
        <is>
          <t>TBC</t>
        </is>
      </c>
      <c r="N31" s="4" t="inlineStr">
        <is>
          <t>none (window reserved, no RTL)</t>
        </is>
      </c>
      <c r="O31" s="27" t="inlineStr">
        <is>
          <t>NOT DECODED -&gt; ERROR slave</t>
        </is>
      </c>
      <c r="P31" s="42" t="inlineStr">
        <is>
          <t>PROPOSED</t>
        </is>
      </c>
      <c r="Q31" s="4" t="inlineStr">
        <is>
          <t>plan s10, s18</t>
        </is>
      </c>
      <c r="R31" s="4" t="inlineStr">
        <is>
          <t>MOVED from 0x1000B000 in Rev A. Staged scope: Ethernet II baseline first, IPv4/UDP as a verified extension.</t>
        </is>
      </c>
    </row>
    <row customHeight="1" ht="56" r="32">
      <c r="A32" s="29" t="inlineStr">
        <is>
          <t>GRD-12</t>
        </is>
      </c>
      <c r="B32" s="30" t="inlineStr">
        <is>
          <t>Peripheral</t>
        </is>
      </c>
      <c r="C32" s="31" t="inlineStr">
        <is>
          <t>Guard window (unassigned)</t>
        </is>
      </c>
      <c r="D32" s="32" t="inlineStr">
        <is>
          <t>Isolation buffer between adjacent peripherals</t>
        </is>
      </c>
      <c r="E32" s="33" t="n">
        <v>268529664</v>
      </c>
      <c r="F32" s="33" t="n">
        <v>268533759</v>
      </c>
      <c r="G32" s="34" t="n">
        <v>4096</v>
      </c>
      <c r="H32" s="35" t="inlineStr">
        <is>
          <t>4 KB</t>
        </is>
      </c>
      <c r="I32" s="33" t="n">
        <v>4096</v>
      </c>
      <c r="J32" s="36" t="inlineStr">
        <is>
          <t>n/a</t>
        </is>
      </c>
      <c r="K32" s="37" t="n">
        <v>4096</v>
      </c>
      <c r="L32" s="35" t="inlineStr">
        <is>
          <t>LSU</t>
        </is>
      </c>
      <c r="M32" s="35" t="inlineStr">
        <is>
          <t>-</t>
        </is>
      </c>
      <c r="N32" s="32" t="inlineStr">
        <is>
          <t>none (no slave)</t>
        </is>
      </c>
      <c r="O32" s="38" t="inlineStr">
        <is>
          <t>HOLE -&gt; ERROR slave</t>
        </is>
      </c>
      <c r="P32" s="41" t="inlineStr">
        <is>
          <t>GUARD</t>
        </is>
      </c>
      <c r="Q32" s="32" t="inlineStr">
        <is>
          <t>Derived - Rev B</t>
        </is>
      </c>
      <c r="R32" s="32" t="inlineStr">
        <is>
          <t>Deliberately unassigned. No peripheral may claim this window. Isolates Packet Parser / Classifier (0x10016000) from Watchdog Timer (0x10018000). Expect the AHB ERROR slave. Each guard also gives its peripheral 4 KB of growth room if the register map outgrows 4 KB.</t>
        </is>
      </c>
    </row>
    <row customHeight="1" ht="56" r="33">
      <c r="A33" s="19" t="inlineStr">
        <is>
          <t>MMIO-13</t>
        </is>
      </c>
      <c r="B33" s="20" t="inlineStr">
        <is>
          <t>Peripheral</t>
        </is>
      </c>
      <c r="C33" s="21" t="inlineStr">
        <is>
          <t>Watchdog Timer</t>
        </is>
      </c>
      <c r="D33" s="4" t="inlineStr">
        <is>
          <t>Fault recovery / system supervision</t>
        </is>
      </c>
      <c r="E33" s="22" t="n">
        <v>268533760</v>
      </c>
      <c r="F33" s="22" t="n">
        <v>268537855</v>
      </c>
      <c r="G33" s="23" t="n">
        <v>4096</v>
      </c>
      <c r="H33" s="24" t="inlineStr">
        <is>
          <t>4 KB</t>
        </is>
      </c>
      <c r="I33" s="22" t="n">
        <v>4096</v>
      </c>
      <c r="J33" s="25" t="n">
        <v>12</v>
      </c>
      <c r="K33" s="26" t="n">
        <v>4096</v>
      </c>
      <c r="L33" s="24" t="inlineStr">
        <is>
          <t>LSU</t>
        </is>
      </c>
      <c r="M33" s="24" t="inlineStr">
        <is>
          <t>TBC</t>
        </is>
      </c>
      <c r="N33" s="4" t="inlineStr">
        <is>
          <t>none (window reserved, no RTL)</t>
        </is>
      </c>
      <c r="O33" s="27" t="inlineStr">
        <is>
          <t>NOT DECODED -&gt; ERROR slave</t>
        </is>
      </c>
      <c r="P33" s="39" t="inlineStr">
        <is>
          <t>RESERVED</t>
        </is>
      </c>
      <c r="Q33" s="4" t="inlineStr">
        <is>
          <t>plan s4.3, s28</t>
        </is>
      </c>
      <c r="R33" s="4" t="inlineStr">
        <is>
          <t>Listed in the IP set but given no address in the plan. Provisional assignment so the aperture has no unallocated gap.</t>
        </is>
      </c>
    </row>
    <row customHeight="1" ht="56" r="34">
      <c r="A34" s="29" t="inlineStr">
        <is>
          <t>GRD-13</t>
        </is>
      </c>
      <c r="B34" s="30" t="inlineStr">
        <is>
          <t>Peripheral</t>
        </is>
      </c>
      <c r="C34" s="31" t="inlineStr">
        <is>
          <t>Guard window (unassigned)</t>
        </is>
      </c>
      <c r="D34" s="32" t="inlineStr">
        <is>
          <t>Isolation buffer between adjacent peripherals</t>
        </is>
      </c>
      <c r="E34" s="33" t="n">
        <v>268537856</v>
      </c>
      <c r="F34" s="33" t="n">
        <v>268541951</v>
      </c>
      <c r="G34" s="34" t="n">
        <v>4096</v>
      </c>
      <c r="H34" s="35" t="inlineStr">
        <is>
          <t>4 KB</t>
        </is>
      </c>
      <c r="I34" s="33" t="n">
        <v>4096</v>
      </c>
      <c r="J34" s="36" t="inlineStr">
        <is>
          <t>n/a</t>
        </is>
      </c>
      <c r="K34" s="37" t="n">
        <v>4096</v>
      </c>
      <c r="L34" s="35" t="inlineStr">
        <is>
          <t>LSU</t>
        </is>
      </c>
      <c r="M34" s="35" t="inlineStr">
        <is>
          <t>-</t>
        </is>
      </c>
      <c r="N34" s="32" t="inlineStr">
        <is>
          <t>none (no slave)</t>
        </is>
      </c>
      <c r="O34" s="38" t="inlineStr">
        <is>
          <t>HOLE -&gt; ERROR slave</t>
        </is>
      </c>
      <c r="P34" s="41" t="inlineStr">
        <is>
          <t>GUARD</t>
        </is>
      </c>
      <c r="Q34" s="32" t="inlineStr">
        <is>
          <t>Derived - Rev B</t>
        </is>
      </c>
      <c r="R34" s="32" t="inlineStr">
        <is>
          <t>Deliberately unassigned. No peripheral may claim this window. Isolates Watchdog Timer (0x10018000) from PRNG (0x1001A000). Expect the AHB ERROR slave. Each guard also gives its peripheral 4 KB of growth room if the register map outgrows 4 KB.</t>
        </is>
      </c>
    </row>
    <row customHeight="1" ht="56" r="35">
      <c r="A35" s="19" t="inlineStr">
        <is>
          <t>MMIO-14</t>
        </is>
      </c>
      <c r="B35" s="20" t="inlineStr">
        <is>
          <t>Peripheral</t>
        </is>
      </c>
      <c r="C35" s="21" t="inlineStr">
        <is>
          <t>PRNG</t>
        </is>
      </c>
      <c r="D35" s="4" t="inlineStr">
        <is>
          <t>Random / security-support function</t>
        </is>
      </c>
      <c r="E35" s="22" t="n">
        <v>268541952</v>
      </c>
      <c r="F35" s="22" t="n">
        <v>268546047</v>
      </c>
      <c r="G35" s="23" t="n">
        <v>4096</v>
      </c>
      <c r="H35" s="24" t="inlineStr">
        <is>
          <t>4 KB</t>
        </is>
      </c>
      <c r="I35" s="22" t="n">
        <v>4096</v>
      </c>
      <c r="J35" s="25" t="n">
        <v>12</v>
      </c>
      <c r="K35" s="26" t="n">
        <v>4096</v>
      </c>
      <c r="L35" s="24" t="inlineStr">
        <is>
          <t>LSU</t>
        </is>
      </c>
      <c r="M35" s="24" t="inlineStr">
        <is>
          <t>TBC</t>
        </is>
      </c>
      <c r="N35" s="4" t="inlineStr">
        <is>
          <t>none (window reserved, no RTL)</t>
        </is>
      </c>
      <c r="O35" s="27" t="inlineStr">
        <is>
          <t>NOT DECODED -&gt; ERROR slave</t>
        </is>
      </c>
      <c r="P35" s="39" t="inlineStr">
        <is>
          <t>RESERVED</t>
        </is>
      </c>
      <c r="Q35" s="4" t="inlineStr">
        <is>
          <t>plan s4.3, s28</t>
        </is>
      </c>
      <c r="R35" s="4" t="inlineStr">
        <is>
          <t>Listed in the IP set but given no address in the plan. Provisional assignment.</t>
        </is>
      </c>
    </row>
    <row customHeight="1" ht="56" r="36">
      <c r="A36" s="29" t="inlineStr">
        <is>
          <t>GRD-14</t>
        </is>
      </c>
      <c r="B36" s="30" t="inlineStr">
        <is>
          <t>Peripheral</t>
        </is>
      </c>
      <c r="C36" s="31" t="inlineStr">
        <is>
          <t>Guard window (unassigned)</t>
        </is>
      </c>
      <c r="D36" s="32" t="inlineStr">
        <is>
          <t>Isolation buffer between adjacent peripherals</t>
        </is>
      </c>
      <c r="E36" s="33" t="n">
        <v>268546048</v>
      </c>
      <c r="F36" s="33" t="n">
        <v>268550143</v>
      </c>
      <c r="G36" s="34" t="n">
        <v>4096</v>
      </c>
      <c r="H36" s="35" t="inlineStr">
        <is>
          <t>4 KB</t>
        </is>
      </c>
      <c r="I36" s="33" t="n">
        <v>4096</v>
      </c>
      <c r="J36" s="36" t="inlineStr">
        <is>
          <t>n/a</t>
        </is>
      </c>
      <c r="K36" s="37" t="n">
        <v>4096</v>
      </c>
      <c r="L36" s="35" t="inlineStr">
        <is>
          <t>LSU</t>
        </is>
      </c>
      <c r="M36" s="35" t="inlineStr">
        <is>
          <t>-</t>
        </is>
      </c>
      <c r="N36" s="32" t="inlineStr">
        <is>
          <t>none (no slave)</t>
        </is>
      </c>
      <c r="O36" s="38" t="inlineStr">
        <is>
          <t>HOLE -&gt; ERROR slave</t>
        </is>
      </c>
      <c r="P36" s="41" t="inlineStr">
        <is>
          <t>GUARD</t>
        </is>
      </c>
      <c r="Q36" s="32" t="inlineStr">
        <is>
          <t>Derived - Rev B</t>
        </is>
      </c>
      <c r="R36" s="32" t="inlineStr">
        <is>
          <t>Deliberately unassigned. No peripheral may claim this window. Isolates PRNG (0x1001A000) from SPI Master (0x1001C000). Expect the AHB ERROR slave. Each guard also gives its peripheral 4 KB of growth room if the register map outgrows 4 KB.</t>
        </is>
      </c>
    </row>
    <row customHeight="1" ht="56" r="37">
      <c r="A37" s="19" t="inlineStr">
        <is>
          <t>MMIO-15</t>
        </is>
      </c>
      <c r="B37" s="20" t="inlineStr">
        <is>
          <t>Peripheral</t>
        </is>
      </c>
      <c r="C37" s="21" t="inlineStr">
        <is>
          <t>SPI Master</t>
        </is>
      </c>
      <c r="D37" s="4" t="inlineStr">
        <is>
          <t>External low-speed peripheral connectivity (optional)</t>
        </is>
      </c>
      <c r="E37" s="22" t="n">
        <v>268550144</v>
      </c>
      <c r="F37" s="22" t="n">
        <v>268554239</v>
      </c>
      <c r="G37" s="23" t="n">
        <v>4096</v>
      </c>
      <c r="H37" s="24" t="inlineStr">
        <is>
          <t>4 KB</t>
        </is>
      </c>
      <c r="I37" s="22" t="n">
        <v>4096</v>
      </c>
      <c r="J37" s="25" t="n">
        <v>12</v>
      </c>
      <c r="K37" s="26" t="n">
        <v>4096</v>
      </c>
      <c r="L37" s="24" t="inlineStr">
        <is>
          <t>LSU</t>
        </is>
      </c>
      <c r="M37" s="24" t="inlineStr">
        <is>
          <t>TBC</t>
        </is>
      </c>
      <c r="N37" s="4" t="inlineStr">
        <is>
          <t>none (window reserved, no RTL)</t>
        </is>
      </c>
      <c r="O37" s="27" t="inlineStr">
        <is>
          <t>NOT DECODED -&gt; ERROR slave</t>
        </is>
      </c>
      <c r="P37" s="39" t="inlineStr">
        <is>
          <t>RESERVED</t>
        </is>
      </c>
      <c r="Q37" s="4" t="inlineStr">
        <is>
          <t>plan s4.4, s28</t>
        </is>
      </c>
      <c r="R37" s="4" t="inlineStr">
        <is>
          <t>Marked planned / optional. May be dropped without disturbing any other window.</t>
        </is>
      </c>
    </row>
    <row customHeight="1" ht="56" r="38">
      <c r="A38" s="29" t="inlineStr">
        <is>
          <t>GRD-15</t>
        </is>
      </c>
      <c r="B38" s="30" t="inlineStr">
        <is>
          <t>Peripheral</t>
        </is>
      </c>
      <c r="C38" s="31" t="inlineStr">
        <is>
          <t>Guard window (unassigned)</t>
        </is>
      </c>
      <c r="D38" s="32" t="inlineStr">
        <is>
          <t>Isolation buffer between adjacent peripherals</t>
        </is>
      </c>
      <c r="E38" s="33" t="n">
        <v>268554240</v>
      </c>
      <c r="F38" s="33" t="n">
        <v>268558335</v>
      </c>
      <c r="G38" s="34" t="n">
        <v>4096</v>
      </c>
      <c r="H38" s="35" t="inlineStr">
        <is>
          <t>4 KB</t>
        </is>
      </c>
      <c r="I38" s="33" t="n">
        <v>4096</v>
      </c>
      <c r="J38" s="36" t="inlineStr">
        <is>
          <t>n/a</t>
        </is>
      </c>
      <c r="K38" s="37" t="n">
        <v>4096</v>
      </c>
      <c r="L38" s="35" t="inlineStr">
        <is>
          <t>LSU</t>
        </is>
      </c>
      <c r="M38" s="35" t="inlineStr">
        <is>
          <t>-</t>
        </is>
      </c>
      <c r="N38" s="32" t="inlineStr">
        <is>
          <t>none (no slave)</t>
        </is>
      </c>
      <c r="O38" s="38" t="inlineStr">
        <is>
          <t>HOLE -&gt; ERROR slave</t>
        </is>
      </c>
      <c r="P38" s="41" t="inlineStr">
        <is>
          <t>GUARD</t>
        </is>
      </c>
      <c r="Q38" s="32" t="inlineStr">
        <is>
          <t>Derived - Rev B</t>
        </is>
      </c>
      <c r="R38" s="32" t="inlineStr">
        <is>
          <t>Deliberately unassigned. No peripheral may claim this window. Isolates SPI Master (0x1001C000) from Reserved for expansion (0x1001E000). Expect the AHB ERROR slave. Each guard also gives its peripheral 4 KB of growth room if the register map outgrows 4 KB.</t>
        </is>
      </c>
    </row>
    <row customHeight="1" ht="56" r="39">
      <c r="A39" s="19" t="inlineStr">
        <is>
          <t>MMIO-16</t>
        </is>
      </c>
      <c r="B39" s="20" t="inlineStr">
        <is>
          <t>Peripheral</t>
        </is>
      </c>
      <c r="C39" s="21" t="inlineStr">
        <is>
          <t>Reserved for expansion</t>
        </is>
      </c>
      <c r="D39" s="4" t="inlineStr">
        <is>
          <t>Unassigned peripheral window</t>
        </is>
      </c>
      <c r="E39" s="22" t="n">
        <v>268558336</v>
      </c>
      <c r="F39" s="22" t="n">
        <v>268562431</v>
      </c>
      <c r="G39" s="23" t="n">
        <v>4096</v>
      </c>
      <c r="H39" s="24" t="inlineStr">
        <is>
          <t>4 KB</t>
        </is>
      </c>
      <c r="I39" s="22" t="n">
        <v>4096</v>
      </c>
      <c r="J39" s="25" t="n">
        <v>12</v>
      </c>
      <c r="K39" s="26" t="n">
        <v>4096</v>
      </c>
      <c r="L39" s="24" t="inlineStr">
        <is>
          <t>LSU</t>
        </is>
      </c>
      <c r="M39" s="24" t="inlineStr">
        <is>
          <t>TBC</t>
        </is>
      </c>
      <c r="N39" s="4" t="inlineStr">
        <is>
          <t>none (window reserved, no RTL)</t>
        </is>
      </c>
      <c r="O39" s="27" t="inlineStr">
        <is>
          <t>NOT DECODED -&gt; ERROR slave</t>
        </is>
      </c>
      <c r="P39" s="39" t="inlineStr">
        <is>
          <t>RESERVED</t>
        </is>
      </c>
      <c r="Q39" s="4" t="inlineStr">
        <is>
          <t>Derived</t>
        </is>
      </c>
      <c r="R39" s="4" t="inlineStr">
        <is>
          <t>Held deliberately unowned so MMIO-16 can be negative-tested as an ERROR case. Keeps the map closed.</t>
        </is>
      </c>
    </row>
    <row customHeight="1" ht="56" r="40">
      <c r="A40" s="29" t="inlineStr">
        <is>
          <t>GRD-16</t>
        </is>
      </c>
      <c r="B40" s="30" t="inlineStr">
        <is>
          <t>Peripheral</t>
        </is>
      </c>
      <c r="C40" s="31" t="inlineStr">
        <is>
          <t>Guard window (unassigned)</t>
        </is>
      </c>
      <c r="D40" s="32" t="inlineStr">
        <is>
          <t>Isolation buffer between adjacent peripherals</t>
        </is>
      </c>
      <c r="E40" s="33" t="n">
        <v>268562432</v>
      </c>
      <c r="F40" s="33" t="n">
        <v>268566527</v>
      </c>
      <c r="G40" s="34" t="n">
        <v>4096</v>
      </c>
      <c r="H40" s="35" t="inlineStr">
        <is>
          <t>4 KB</t>
        </is>
      </c>
      <c r="I40" s="33" t="n">
        <v>4096</v>
      </c>
      <c r="J40" s="36" t="inlineStr">
        <is>
          <t>n/a</t>
        </is>
      </c>
      <c r="K40" s="37" t="n">
        <v>4096</v>
      </c>
      <c r="L40" s="35" t="inlineStr">
        <is>
          <t>LSU</t>
        </is>
      </c>
      <c r="M40" s="35" t="inlineStr">
        <is>
          <t>-</t>
        </is>
      </c>
      <c r="N40" s="32" t="inlineStr">
        <is>
          <t>none (no slave)</t>
        </is>
      </c>
      <c r="O40" s="38" t="inlineStr">
        <is>
          <t>HOLE -&gt; ERROR slave</t>
        </is>
      </c>
      <c r="P40" s="41" t="inlineStr">
        <is>
          <t>GUARD</t>
        </is>
      </c>
      <c r="Q40" s="32" t="inlineStr">
        <is>
          <t>Derived - Rev B</t>
        </is>
      </c>
      <c r="R40" s="32" t="inlineStr">
        <is>
          <t>Deliberately unassigned. No peripheral may claim this window. Isolates Reserved for expansion (0x1001E000) from nothing - top of aperture (0x10020000). Expect the AHB ERROR slave. Each guard also gives its peripheral 4 KB of growth room if the register map outgrows 4 KB.</t>
        </is>
      </c>
    </row>
    <row customHeight="1" ht="56" r="41">
      <c r="A41" s="19" t="inlineStr">
        <is>
          <t>GAP-03</t>
        </is>
      </c>
      <c r="B41" s="20" t="inlineStr">
        <is>
          <t>High</t>
        </is>
      </c>
      <c r="C41" s="21" t="inlineStr">
        <is>
          <t>Unmapped high region</t>
        </is>
      </c>
      <c r="D41" s="4" t="inlineStr">
        <is>
          <t>No slave; reserved</t>
        </is>
      </c>
      <c r="E41" s="22" t="n">
        <v>268566528</v>
      </c>
      <c r="F41" s="22" t="n">
        <v>4294967295</v>
      </c>
      <c r="G41" s="23" t="n">
        <v>4026400768</v>
      </c>
      <c r="H41" s="24" t="inlineStr">
        <is>
          <t>3.75 GB</t>
        </is>
      </c>
      <c r="I41" s="22" t="n">
        <v>4026400768</v>
      </c>
      <c r="J41" s="25" t="inlineStr">
        <is>
          <t>n/a</t>
        </is>
      </c>
      <c r="K41" s="26" t="n">
        <v>131072</v>
      </c>
      <c r="L41" s="24" t="inlineStr">
        <is>
          <t>IFU/LSU</t>
        </is>
      </c>
      <c r="M41" s="24" t="inlineStr">
        <is>
          <t>-</t>
        </is>
      </c>
      <c r="N41" s="4" t="inlineStr">
        <is>
          <t>none (no slave)</t>
        </is>
      </c>
      <c r="O41" s="27" t="inlineStr">
        <is>
          <t>HOLE -&gt; ERROR slave</t>
        </is>
      </c>
      <c r="P41" s="39" t="inlineStr">
        <is>
          <t>RESERVED</t>
        </is>
      </c>
      <c r="Q41" s="4" t="inlineStr">
        <is>
          <t>Derived</t>
        </is>
      </c>
      <c r="R41" s="4" t="inlineStr">
        <is>
          <t>Everything above the peripheral aperture. Starts at 0x10020000 in Rev B. Always probe 0xFFFFFFFF - the classic off-by-one in a decoder.</t>
        </is>
      </c>
    </row>
    <row customHeight="1" ht="32" r="43">
      <c r="A43" s="43" t="inlineStr">
        <is>
          <t>CHECK  -  End = Start + Size - 1, every row (must read ALL OK)</t>
        </is>
      </c>
      <c r="B43" s="44" t="n"/>
      <c r="C43" s="44" t="n"/>
      <c r="D43" s="44" t="n"/>
      <c r="E43" s="44" t="n"/>
      <c r="F43" s="45" t="n"/>
      <c r="G43" s="46">
        <f>IF(SUMPRODUCT(--((E5:E41+G5:G41-1)&lt;&gt;F5:F41))=0,"ALL OK","MISMATCH")</f>
        <v/>
      </c>
      <c r="H43" s="47" t="n"/>
      <c r="I43" s="47" t="n"/>
      <c r="J43" s="47" t="n"/>
      <c r="K43" s="47" t="n"/>
      <c r="L43" s="48" t="inlineStr">
        <is>
          <t>APERTURE SUMMARY (Rev B).  IMEM 0x00000000-0x0000FFFF (64 KB aperture, 32 KB used).  DMEM 0x00010000-0x00017FFF (32 KB).  Peripheral aperture 0x10000000-0x1001FFFF = 128 KB = 16 slots x 8 KB pitch (4 KB window + 4 KB guard).  16 windows assigned, 16 guards, 0 unallocated bytes inside the aperture.</t>
        </is>
      </c>
      <c r="M43" s="44" t="n"/>
      <c r="N43" s="44" t="n"/>
      <c r="O43" s="44" t="n"/>
      <c r="P43" s="44" t="n"/>
      <c r="Q43" s="44" t="n"/>
      <c r="R43" s="45" t="n"/>
    </row>
  </sheetData>
  <autoFilter ref="A4:R41"/>
  <mergeCells count="4">
    <mergeCell ref="A2:R2"/>
    <mergeCell ref="A43:F43"/>
    <mergeCell ref="A1:R1"/>
    <mergeCell ref="L43:R43"/>
  </mergeCells>
  <printOptions horizontalCentered="1"/>
  <pageMargins bottom="0.4" footer="0.5" header="0.5" left="0.3" right="0.3" top="0.4"/>
  <pageSetup fitToHeight="0" fitToWidth="1" orientation="landscape"/>
  <headerFooter>
    <oddHeader/>
    <oddFooter>&amp;C&amp;8 &amp;A  |  Rev B (Re-pitched MMIO aperture, draft for Architecture Freeze)  |  Page &amp;P of &amp;N</oddFooter>
    <evenHeader/>
    <evenFooter/>
    <firstHeader/>
    <firstFooter/>
  </headerFooter>
</worksheet>
</file>

<file path=xl/worksheets/sheet3.xml><?xml version="1.0" encoding="utf-8"?>
<worksheet xmlns="http://schemas.openxmlformats.org/spreadsheetml/2006/main">
  <sheetPr>
    <tabColor rgb="002E5C8A"/>
    <outlinePr summaryBelow="1" summaryRight="1"/>
    <pageSetUpPr fitToPage="1"/>
  </sheetPr>
  <dimension ref="A1:M36"/>
  <sheetViews>
    <sheetView showGridLines="0" workbookViewId="0">
      <pane activePane="bottomRight" state="frozen" topLeftCell="C5" xSplit="2" ySplit="4"/>
      <selection pane="topRight"/>
      <selection pane="bottomLeft"/>
      <selection activeCell="A1" pane="bottomRight" sqref="A1"/>
    </sheetView>
  </sheetViews>
  <sheetFormatPr baseColWidth="8" defaultRowHeight="15"/>
  <cols>
    <col customWidth="1" max="1" min="1" width="10"/>
    <col customWidth="1" max="2" min="2" width="26"/>
    <col customWidth="1" max="3" min="3" width="14"/>
    <col customWidth="1" max="4" min="4" width="14"/>
    <col customWidth="1" max="5" min="5" width="11"/>
    <col customWidth="1" max="6" min="6" width="12"/>
    <col customWidth="1" max="7" min="7" width="28"/>
    <col customWidth="1" max="8" min="8" width="24"/>
    <col customWidth="1" max="9" min="9" width="22"/>
    <col customWidth="1" max="10" min="10" width="30"/>
    <col customWidth="1" max="11" min="11" width="30"/>
    <col customWidth="1" max="12" min="12" width="42"/>
    <col customWidth="1" max="13" min="13" width="13"/>
  </cols>
  <sheetData>
    <row customHeight="1" ht="22" r="1">
      <c r="A1" s="15" t="inlineStr">
        <is>
          <t>2. MMIO Window Decode and Fabric Mapping</t>
        </is>
      </c>
    </row>
    <row customHeight="1" ht="40" r="2">
      <c r="A2" s="16" t="inlineStr">
        <is>
          <t>Per-window fabric mapping for Rev B. Two structural consequences of the 8 KB pitch: (1) guard windows have NO AXI window at all, which is cleaner than Rev A where every 4 KB block needed one; (2) the six frozen peripherals map exactly onto the eight available AXI slots, so the 2x8 fabric does not need to grow for them. See the Change Log sheet for the M06 re-parameterisation.</t>
        </is>
      </c>
      <c r="B2" s="17" t="n"/>
      <c r="C2" s="17" t="n"/>
      <c r="D2" s="17" t="n"/>
      <c r="E2" s="17" t="n"/>
      <c r="F2" s="17" t="n"/>
      <c r="G2" s="17" t="n"/>
      <c r="H2" s="17" t="n"/>
      <c r="I2" s="17" t="n"/>
      <c r="J2" s="17" t="n"/>
      <c r="K2" s="17" t="n"/>
      <c r="L2" s="17" t="n"/>
      <c r="M2" s="17" t="n"/>
    </row>
    <row customHeight="1" ht="34" r="4">
      <c r="A4" s="18" t="inlineStr">
        <is>
          <t>Window ID</t>
        </is>
      </c>
      <c r="B4" s="18" t="inlineStr">
        <is>
          <t>Block</t>
        </is>
      </c>
      <c r="C4" s="18" t="inlineStr">
        <is>
          <t>Base Address</t>
        </is>
      </c>
      <c r="D4" s="18" t="inlineStr">
        <is>
          <t>Window End</t>
        </is>
      </c>
      <c r="E4" s="18" t="inlineStr">
        <is>
          <t>Window Size</t>
        </is>
      </c>
      <c r="F4" s="18" t="inlineStr">
        <is>
          <t>Decode Bits</t>
        </is>
      </c>
      <c r="G4" s="18" t="inlineStr">
        <is>
          <t>AHB Slave Port in soc_top</t>
        </is>
      </c>
      <c r="H4" s="18" t="inlineStr">
        <is>
          <t>AHB Decode Status</t>
        </is>
      </c>
      <c r="I4" s="18" t="inlineStr">
        <is>
          <t>Recommended AXI Window</t>
        </is>
      </c>
      <c r="J4" s="18" t="inlineStr">
        <is>
          <t>AXI Fabric Impact</t>
        </is>
      </c>
      <c r="K4" s="18" t="inlineStr">
        <is>
          <t>Bridge Path</t>
        </is>
      </c>
      <c r="L4" s="18" t="inlineStr">
        <is>
          <t>Required RTL Change</t>
        </is>
      </c>
      <c r="M4" s="18" t="inlineStr">
        <is>
          <t>Freeze Status</t>
        </is>
      </c>
    </row>
    <row customHeight="1" ht="54" r="5">
      <c r="A5" s="25" t="inlineStr">
        <is>
          <t>MMIO-01</t>
        </is>
      </c>
      <c r="B5" s="21" t="inlineStr">
        <is>
          <t>UART</t>
        </is>
      </c>
      <c r="C5" s="22" t="n">
        <v>268435456</v>
      </c>
      <c r="D5" s="22" t="n">
        <v>268439551</v>
      </c>
      <c r="E5" s="49" t="n">
        <v>4096</v>
      </c>
      <c r="F5" s="50" t="inlineStr">
        <is>
          <t>AWADDR[11:0]</t>
        </is>
      </c>
      <c r="G5" s="4" t="inlineStr">
        <is>
          <t>uart port (3'd011)</t>
        </is>
      </c>
      <c r="H5" s="51" t="inlineStr">
        <is>
          <t>DECODED</t>
        </is>
      </c>
      <c r="I5" s="52" t="inlineStr">
        <is>
          <t>M02 = 0x10000000 / 12</t>
        </is>
      </c>
      <c r="J5" s="4" t="inlineStr">
        <is>
          <t>UNCHANGED. M02 is already 0x10000000/12 in axi_interconnect_wrap_2x8.v. Phase-3 E2E result unaffected.</t>
        </is>
      </c>
      <c r="K5" s="4" t="inlineStr">
        <is>
          <t>AHB -&gt; ahb_to_axi_bridge -&gt; AXI -&gt; uart_axi_slave</t>
        </is>
      </c>
      <c r="L5" s="4" t="inlineStr">
        <is>
          <t>None - path exists and is E2E verified</t>
        </is>
      </c>
      <c r="M5" s="40" t="inlineStr">
        <is>
          <t>VERIFIED</t>
        </is>
      </c>
    </row>
    <row customHeight="1" ht="54" r="6">
      <c r="A6" s="36" t="inlineStr">
        <is>
          <t>MMIO-02</t>
        </is>
      </c>
      <c r="B6" s="31" t="inlineStr">
        <is>
          <t>Timer</t>
        </is>
      </c>
      <c r="C6" s="33" t="n">
        <v>268443648</v>
      </c>
      <c r="D6" s="33" t="n">
        <v>268447743</v>
      </c>
      <c r="E6" s="53" t="n">
        <v>4096</v>
      </c>
      <c r="F6" s="54" t="inlineStr">
        <is>
          <t>AWADDR[11:0]</t>
        </is>
      </c>
      <c r="G6" s="32" t="inlineStr">
        <is>
          <t>default ERROR port (3'd100)</t>
        </is>
      </c>
      <c r="H6" s="55" t="inlineStr">
        <is>
          <t>NOT DECODED</t>
        </is>
      </c>
      <c r="I6" s="56" t="inlineStr">
        <is>
          <t>M03 = 0x10002000 / 12</t>
        </is>
      </c>
      <c r="J6" s="32" t="inlineStr">
        <is>
          <t>M03 must be re-parameterised from 0x10001000 to 0x10002000. M03 currently addresses what is now guard GRD-01.</t>
        </is>
      </c>
      <c r="K6" s="32" t="inlineStr">
        <is>
          <t>TBC: direct AHB slave, or AHB -&gt; bridge -&gt; new AXI slave</t>
        </is>
      </c>
      <c r="L6" s="32" t="inlineStr">
        <is>
          <t>Add ahb_interconnect decode entry + Timer RTL, then re-parameterise M03</t>
        </is>
      </c>
      <c r="M6" s="28" t="inlineStr">
        <is>
          <t>FROZEN</t>
        </is>
      </c>
    </row>
    <row customHeight="1" ht="54" r="7">
      <c r="A7" s="25" t="inlineStr">
        <is>
          <t>MMIO-03</t>
        </is>
      </c>
      <c r="B7" s="21" t="inlineStr">
        <is>
          <t>GPIO</t>
        </is>
      </c>
      <c r="C7" s="22" t="n">
        <v>268451840</v>
      </c>
      <c r="D7" s="22" t="n">
        <v>268455935</v>
      </c>
      <c r="E7" s="49" t="n">
        <v>4096</v>
      </c>
      <c r="F7" s="50" t="inlineStr">
        <is>
          <t>AWADDR[11:0]</t>
        </is>
      </c>
      <c r="G7" s="4" t="inlineStr">
        <is>
          <t>default ERROR port (3'd100)</t>
        </is>
      </c>
      <c r="H7" s="51" t="inlineStr">
        <is>
          <t>NOT DECODED</t>
        </is>
      </c>
      <c r="I7" s="52" t="inlineStr">
        <is>
          <t>M04 = 0x10004000 / 12</t>
        </is>
      </c>
      <c r="J7" s="4" t="inlineStr">
        <is>
          <t>M04 must be re-parameterised from 0x10002000 to 0x10004000. M04 currently addresses what is now guard GRD-02.</t>
        </is>
      </c>
      <c r="K7" s="4" t="inlineStr">
        <is>
          <t>TBC: direct AHB slave, or AHB -&gt; bridge -&gt; new AXI slave</t>
        </is>
      </c>
      <c r="L7" s="4" t="inlineStr">
        <is>
          <t>Add ahb_interconnect decode entry + GPIO RTL, then re-parameterise M04</t>
        </is>
      </c>
      <c r="M7" s="28" t="inlineStr">
        <is>
          <t>FROZEN</t>
        </is>
      </c>
    </row>
    <row customHeight="1" ht="54" r="8">
      <c r="A8" s="36" t="inlineStr">
        <is>
          <t>MMIO-04</t>
        </is>
      </c>
      <c r="B8" s="31" t="inlineStr">
        <is>
          <t>Network Telemetry Engine (NTE)</t>
        </is>
      </c>
      <c r="C8" s="33" t="n">
        <v>268460032</v>
      </c>
      <c r="D8" s="33" t="n">
        <v>268464127</v>
      </c>
      <c r="E8" s="53" t="n">
        <v>4096</v>
      </c>
      <c r="F8" s="54" t="inlineStr">
        <is>
          <t>AWADDR[11:0]</t>
        </is>
      </c>
      <c r="G8" s="32" t="inlineStr">
        <is>
          <t>default ERROR port (3'd100)</t>
        </is>
      </c>
      <c r="H8" s="55" t="inlineStr">
        <is>
          <t>NOT DECODED</t>
        </is>
      </c>
      <c r="I8" s="56" t="inlineStr">
        <is>
          <t>M05 = 0x10006000 / 12</t>
        </is>
      </c>
      <c r="J8" s="32" t="inlineStr">
        <is>
          <t>M05 must be re-parameterised from 0x10003000 to 0x10006000. M05 currently addresses what is now guard GRD-03.</t>
        </is>
      </c>
      <c r="K8" s="32" t="inlineStr">
        <is>
          <t>TBC: direct AHB slave, or AHB -&gt; bridge -&gt; new AXI slave</t>
        </is>
      </c>
      <c r="L8" s="32" t="inlineStr">
        <is>
          <t>Add ahb_interconnect decode entry + Network Telemetry Engine (NTE) RTL, then re-parameterise M05</t>
        </is>
      </c>
      <c r="M8" s="28" t="inlineStr">
        <is>
          <t>FROZEN</t>
        </is>
      </c>
    </row>
    <row customHeight="1" ht="54" r="9">
      <c r="A9" s="25" t="inlineStr">
        <is>
          <t>MMIO-05</t>
        </is>
      </c>
      <c r="B9" s="21" t="inlineStr">
        <is>
          <t>AES-128 Accelerator</t>
        </is>
      </c>
      <c r="C9" s="22" t="n">
        <v>268468224</v>
      </c>
      <c r="D9" s="22" t="n">
        <v>268472319</v>
      </c>
      <c r="E9" s="49" t="n">
        <v>4096</v>
      </c>
      <c r="F9" s="50" t="inlineStr">
        <is>
          <t>AWADDR[11:0]</t>
        </is>
      </c>
      <c r="G9" s="4" t="inlineStr">
        <is>
          <t>default ERROR port (3'd100)</t>
        </is>
      </c>
      <c r="H9" s="51" t="inlineStr">
        <is>
          <t>NOT DECODED</t>
        </is>
      </c>
      <c r="I9" s="52" t="inlineStr">
        <is>
          <t>M06 = 0x10008000 / 12</t>
        </is>
      </c>
      <c r="J9" s="4" t="inlineStr">
        <is>
          <t>M06 must be re-parameterised from 0x10004000 to 0x10008000. THE VERIFIED AES RUN LOGGED M06 = 0x10004000, so that regression must be re-run.</t>
        </is>
      </c>
      <c r="K9" s="4" t="inlineStr">
        <is>
          <t>M06 -&gt; aes_axi_slave (bridge path reused from UART)</t>
        </is>
      </c>
      <c r="L9" s="4" t="inlineStr">
        <is>
          <t>Re-parameterise M06, instantiate ahb_to_axi_bridge for this window, instantiate aes_axi_slave. Milestone M4.</t>
        </is>
      </c>
      <c r="M9" s="28" t="inlineStr">
        <is>
          <t>FROZEN</t>
        </is>
      </c>
    </row>
    <row customHeight="1" ht="54" r="10">
      <c r="A10" s="36" t="inlineStr">
        <is>
          <t>MMIO-06</t>
        </is>
      </c>
      <c r="B10" s="31" t="inlineStr">
        <is>
          <t>CRC-32 / FCS Checker</t>
        </is>
      </c>
      <c r="C10" s="33" t="n">
        <v>268476416</v>
      </c>
      <c r="D10" s="33" t="n">
        <v>268480511</v>
      </c>
      <c r="E10" s="53" t="n">
        <v>4096</v>
      </c>
      <c r="F10" s="54" t="inlineStr">
        <is>
          <t>AWADDR[11:0]</t>
        </is>
      </c>
      <c r="G10" s="32" t="inlineStr">
        <is>
          <t>default ERROR port (3'd100)</t>
        </is>
      </c>
      <c r="H10" s="55" t="inlineStr">
        <is>
          <t>NOT DECODED</t>
        </is>
      </c>
      <c r="I10" s="56" t="inlineStr">
        <is>
          <t>M07 = 0x1000A000 / 12</t>
        </is>
      </c>
      <c r="J10" s="32" t="inlineStr">
        <is>
          <t>M07 must be re-parameterised from 0x10005000 to 0x1000A000. M07 currently addresses what is now guard GRD-05.</t>
        </is>
      </c>
      <c r="K10" s="32" t="inlineStr">
        <is>
          <t>TBC: direct AHB slave, or AHB -&gt; bridge -&gt; new AXI slave</t>
        </is>
      </c>
      <c r="L10" s="32" t="inlineStr">
        <is>
          <t>Add ahb_interconnect decode entry + CRC-32 / FCS Checker RTL, then re-parameterise M07</t>
        </is>
      </c>
      <c r="M10" s="28" t="inlineStr">
        <is>
          <t>FROZEN</t>
        </is>
      </c>
    </row>
    <row customHeight="1" ht="54" r="11">
      <c r="A11" s="25" t="inlineStr">
        <is>
          <t>MMIO-07</t>
        </is>
      </c>
      <c r="B11" s="21" t="inlineStr">
        <is>
          <t>Ethernet MAC</t>
        </is>
      </c>
      <c r="C11" s="22" t="n">
        <v>268484608</v>
      </c>
      <c r="D11" s="22" t="n">
        <v>268488703</v>
      </c>
      <c r="E11" s="49" t="n">
        <v>4096</v>
      </c>
      <c r="F11" s="50" t="inlineStr">
        <is>
          <t>AWADDR[11:0]</t>
        </is>
      </c>
      <c r="G11" s="4" t="inlineStr">
        <is>
          <t>default ERROR port (3'd100)</t>
        </is>
      </c>
      <c r="H11" s="51" t="inlineStr">
        <is>
          <t>NOT DECODED</t>
        </is>
      </c>
      <c r="I11" s="52" t="inlineStr">
        <is>
          <t>NONE - guard windows get no AXI window. The fabric skips them, so a stray access cannot be routed anywhere useful.</t>
        </is>
      </c>
      <c r="J11" s="4" t="inlineStr">
        <is>
          <t>Fabric has no spare slot (only M00-M07). AHB-direct attach, or extend the wrapper beyond 8 windows.</t>
        </is>
      </c>
      <c r="K11" s="4" t="inlineStr">
        <is>
          <t>TBC</t>
        </is>
      </c>
      <c r="L11" s="4" t="inlineStr">
        <is>
          <t>Decide AHB-direct vs AXI. If AXI, the 2x8 wrapper needs slots beyond M07 - all eight are taken by the frozen blocks.</t>
        </is>
      </c>
      <c r="M11" s="42" t="inlineStr">
        <is>
          <t>PROPOSED</t>
        </is>
      </c>
    </row>
    <row customHeight="1" ht="54" r="12">
      <c r="A12" s="36" t="inlineStr">
        <is>
          <t>MMIO-08</t>
        </is>
      </c>
      <c r="B12" s="31" t="inlineStr">
        <is>
          <t>Hardware Timestamp Unit</t>
        </is>
      </c>
      <c r="C12" s="33" t="n">
        <v>268492800</v>
      </c>
      <c r="D12" s="33" t="n">
        <v>268496895</v>
      </c>
      <c r="E12" s="53" t="n">
        <v>4096</v>
      </c>
      <c r="F12" s="54" t="inlineStr">
        <is>
          <t>AWADDR[11:0]</t>
        </is>
      </c>
      <c r="G12" s="32" t="inlineStr">
        <is>
          <t>default ERROR port (3'd100)</t>
        </is>
      </c>
      <c r="H12" s="55" t="inlineStr">
        <is>
          <t>NOT DECODED</t>
        </is>
      </c>
      <c r="I12" s="56" t="inlineStr">
        <is>
          <t>NONE - guard windows get no AXI window. The fabric skips them, so a stray access cannot be routed anywhere useful.</t>
        </is>
      </c>
      <c r="J12" s="32" t="inlineStr">
        <is>
          <t>Fabric has no spare slot (only M00-M07). AHB-direct attach, or extend the wrapper beyond 8 windows.</t>
        </is>
      </c>
      <c r="K12" s="32" t="inlineStr">
        <is>
          <t>TBC</t>
        </is>
      </c>
      <c r="L12" s="32" t="inlineStr">
        <is>
          <t>Decide AHB-direct vs AXI. If AXI, the 2x8 wrapper needs slots beyond M07 - all eight are taken by the frozen blocks.</t>
        </is>
      </c>
      <c r="M12" s="42" t="inlineStr">
        <is>
          <t>PROPOSED</t>
        </is>
      </c>
    </row>
    <row customHeight="1" ht="54" r="13">
      <c r="A13" s="25" t="inlineStr">
        <is>
          <t>MMIO-09</t>
        </is>
      </c>
      <c r="B13" s="21" t="inlineStr">
        <is>
          <t>Packet / Flow Buffer</t>
        </is>
      </c>
      <c r="C13" s="22" t="n">
        <v>268500992</v>
      </c>
      <c r="D13" s="22" t="n">
        <v>268505087</v>
      </c>
      <c r="E13" s="49" t="n">
        <v>4096</v>
      </c>
      <c r="F13" s="50" t="inlineStr">
        <is>
          <t>AWADDR[11:0]</t>
        </is>
      </c>
      <c r="G13" s="4" t="inlineStr">
        <is>
          <t>default ERROR port (3'd100)</t>
        </is>
      </c>
      <c r="H13" s="51" t="inlineStr">
        <is>
          <t>NOT DECODED</t>
        </is>
      </c>
      <c r="I13" s="52" t="inlineStr">
        <is>
          <t>NONE - guard windows get no AXI window. The fabric skips them, so a stray access cannot be routed anywhere useful.</t>
        </is>
      </c>
      <c r="J13" s="4" t="inlineStr">
        <is>
          <t>Fabric has no spare slot (only M00-M07). AHB-direct attach, or extend the wrapper beyond 8 windows.</t>
        </is>
      </c>
      <c r="K13" s="4" t="inlineStr">
        <is>
          <t>TBC</t>
        </is>
      </c>
      <c r="L13" s="4" t="inlineStr">
        <is>
          <t>Decide AHB-direct vs AXI. If AXI, the 2x8 wrapper needs slots beyond M07 - all eight are taken by the frozen blocks.</t>
        </is>
      </c>
      <c r="M13" s="42" t="inlineStr">
        <is>
          <t>PROPOSED</t>
        </is>
      </c>
    </row>
    <row customHeight="1" ht="54" r="14">
      <c r="A14" s="36" t="inlineStr">
        <is>
          <t>MMIO-10</t>
        </is>
      </c>
      <c r="B14" s="31" t="inlineStr">
        <is>
          <t>DMA Controller</t>
        </is>
      </c>
      <c r="C14" s="33" t="n">
        <v>268509184</v>
      </c>
      <c r="D14" s="33" t="n">
        <v>268513279</v>
      </c>
      <c r="E14" s="53" t="n">
        <v>4096</v>
      </c>
      <c r="F14" s="54" t="inlineStr">
        <is>
          <t>AWADDR[11:0]</t>
        </is>
      </c>
      <c r="G14" s="32" t="inlineStr">
        <is>
          <t>default ERROR port (3'd100)</t>
        </is>
      </c>
      <c r="H14" s="55" t="inlineStr">
        <is>
          <t>NOT DECODED</t>
        </is>
      </c>
      <c r="I14" s="56" t="inlineStr">
        <is>
          <t>NONE - guard windows get no AXI window. The fabric skips them, so a stray access cannot be routed anywhere useful.</t>
        </is>
      </c>
      <c r="J14" s="32" t="inlineStr">
        <is>
          <t>Fabric has no spare slot (only M00-M07). AHB-direct attach, or extend the wrapper beyond 8 windows.</t>
        </is>
      </c>
      <c r="K14" s="32" t="inlineStr">
        <is>
          <t>TBC</t>
        </is>
      </c>
      <c r="L14" s="32" t="inlineStr">
        <is>
          <t>Decide AHB-direct vs AXI. If AXI, the 2x8 wrapper needs slots beyond M07 - all eight are taken by the frozen blocks.</t>
        </is>
      </c>
      <c r="M14" s="42" t="inlineStr">
        <is>
          <t>PROPOSED</t>
        </is>
      </c>
    </row>
    <row customHeight="1" ht="54" r="15">
      <c r="A15" s="25" t="inlineStr">
        <is>
          <t>MMIO-11</t>
        </is>
      </c>
      <c r="B15" s="21" t="inlineStr">
        <is>
          <t>SHA-256 Accelerator</t>
        </is>
      </c>
      <c r="C15" s="22" t="n">
        <v>268517376</v>
      </c>
      <c r="D15" s="22" t="n">
        <v>268521471</v>
      </c>
      <c r="E15" s="49" t="n">
        <v>4096</v>
      </c>
      <c r="F15" s="50" t="inlineStr">
        <is>
          <t>AWADDR[11:0]</t>
        </is>
      </c>
      <c r="G15" s="4" t="inlineStr">
        <is>
          <t>default ERROR port (3'd100)</t>
        </is>
      </c>
      <c r="H15" s="51" t="inlineStr">
        <is>
          <t>NOT DECODED</t>
        </is>
      </c>
      <c r="I15" s="52" t="inlineStr">
        <is>
          <t>NONE - guard windows get no AXI window. The fabric skips them, so a stray access cannot be routed anywhere useful.</t>
        </is>
      </c>
      <c r="J15" s="4" t="inlineStr">
        <is>
          <t>Fabric has no spare slot (only M00-M07). AHB-direct attach, or extend the wrapper beyond 8 windows.</t>
        </is>
      </c>
      <c r="K15" s="4" t="inlineStr">
        <is>
          <t>TBC</t>
        </is>
      </c>
      <c r="L15" s="4" t="inlineStr">
        <is>
          <t>Decide AHB-direct vs AXI. If AXI, the 2x8 wrapper needs slots beyond M07 - all eight are taken by the frozen blocks.</t>
        </is>
      </c>
      <c r="M15" s="42" t="inlineStr">
        <is>
          <t>PROPOSED</t>
        </is>
      </c>
    </row>
    <row customHeight="1" ht="54" r="16">
      <c r="A16" s="36" t="inlineStr">
        <is>
          <t>MMIO-12</t>
        </is>
      </c>
      <c r="B16" s="31" t="inlineStr">
        <is>
          <t>Packet Parser / Classifier</t>
        </is>
      </c>
      <c r="C16" s="33" t="n">
        <v>268525568</v>
      </c>
      <c r="D16" s="33" t="n">
        <v>268529663</v>
      </c>
      <c r="E16" s="53" t="n">
        <v>4096</v>
      </c>
      <c r="F16" s="54" t="inlineStr">
        <is>
          <t>AWADDR[11:0]</t>
        </is>
      </c>
      <c r="G16" s="32" t="inlineStr">
        <is>
          <t>default ERROR port (3'd100)</t>
        </is>
      </c>
      <c r="H16" s="55" t="inlineStr">
        <is>
          <t>NOT DECODED</t>
        </is>
      </c>
      <c r="I16" s="56" t="inlineStr">
        <is>
          <t>NONE - guard windows get no AXI window. The fabric skips them, so a stray access cannot be routed anywhere useful.</t>
        </is>
      </c>
      <c r="J16" s="32" t="inlineStr">
        <is>
          <t>Fabric has no spare slot (only M00-M07). AHB-direct attach, or extend the wrapper beyond 8 windows.</t>
        </is>
      </c>
      <c r="K16" s="32" t="inlineStr">
        <is>
          <t>TBC</t>
        </is>
      </c>
      <c r="L16" s="32" t="inlineStr">
        <is>
          <t>Decide AHB-direct vs AXI. If AXI, the 2x8 wrapper needs slots beyond M07 - all eight are taken by the frozen blocks.</t>
        </is>
      </c>
      <c r="M16" s="42" t="inlineStr">
        <is>
          <t>PROPOSED</t>
        </is>
      </c>
    </row>
    <row customHeight="1" ht="54" r="17">
      <c r="A17" s="25" t="inlineStr">
        <is>
          <t>MMIO-13</t>
        </is>
      </c>
      <c r="B17" s="21" t="inlineStr">
        <is>
          <t>Watchdog Timer</t>
        </is>
      </c>
      <c r="C17" s="22" t="n">
        <v>268533760</v>
      </c>
      <c r="D17" s="22" t="n">
        <v>268537855</v>
      </c>
      <c r="E17" s="49" t="n">
        <v>4096</v>
      </c>
      <c r="F17" s="50" t="inlineStr">
        <is>
          <t>AWADDR[11:0]</t>
        </is>
      </c>
      <c r="G17" s="4" t="inlineStr">
        <is>
          <t>default ERROR port (3'd100)</t>
        </is>
      </c>
      <c r="H17" s="51" t="inlineStr">
        <is>
          <t>NOT DECODED</t>
        </is>
      </c>
      <c r="I17" s="52" t="inlineStr">
        <is>
          <t>NONE - guard windows get no AXI window. The fabric skips them, so a stray access cannot be routed anywhere useful.</t>
        </is>
      </c>
      <c r="J17" s="4" t="inlineStr">
        <is>
          <t>Fabric has no spare slot (only M00-M07). AHB-direct attach, or extend the wrapper beyond 8 windows.</t>
        </is>
      </c>
      <c r="K17" s="4" t="inlineStr">
        <is>
          <t>TBC</t>
        </is>
      </c>
      <c r="L17" s="4" t="inlineStr">
        <is>
          <t>Decide AHB-direct vs AXI. If AXI, the 2x8 wrapper needs slots beyond M07 - all eight are taken by the frozen blocks.</t>
        </is>
      </c>
      <c r="M17" s="39" t="inlineStr">
        <is>
          <t>RESERVED</t>
        </is>
      </c>
    </row>
    <row customHeight="1" ht="54" r="18">
      <c r="A18" s="36" t="inlineStr">
        <is>
          <t>MMIO-14</t>
        </is>
      </c>
      <c r="B18" s="31" t="inlineStr">
        <is>
          <t>PRNG</t>
        </is>
      </c>
      <c r="C18" s="33" t="n">
        <v>268541952</v>
      </c>
      <c r="D18" s="33" t="n">
        <v>268546047</v>
      </c>
      <c r="E18" s="53" t="n">
        <v>4096</v>
      </c>
      <c r="F18" s="54" t="inlineStr">
        <is>
          <t>AWADDR[11:0]</t>
        </is>
      </c>
      <c r="G18" s="32" t="inlineStr">
        <is>
          <t>default ERROR port (3'd100)</t>
        </is>
      </c>
      <c r="H18" s="55" t="inlineStr">
        <is>
          <t>NOT DECODED</t>
        </is>
      </c>
      <c r="I18" s="56" t="inlineStr">
        <is>
          <t>NONE - guard windows get no AXI window. The fabric skips them, so a stray access cannot be routed anywhere useful.</t>
        </is>
      </c>
      <c r="J18" s="32" t="inlineStr">
        <is>
          <t>Fabric has no spare slot (only M00-M07). AHB-direct attach, or extend the wrapper beyond 8 windows.</t>
        </is>
      </c>
      <c r="K18" s="32" t="inlineStr">
        <is>
          <t>TBC</t>
        </is>
      </c>
      <c r="L18" s="32" t="inlineStr">
        <is>
          <t>Decide AHB-direct vs AXI. If AXI, the 2x8 wrapper needs slots beyond M07 - all eight are taken by the frozen blocks.</t>
        </is>
      </c>
      <c r="M18" s="39" t="inlineStr">
        <is>
          <t>RESERVED</t>
        </is>
      </c>
    </row>
    <row customHeight="1" ht="54" r="19">
      <c r="A19" s="25" t="inlineStr">
        <is>
          <t>MMIO-15</t>
        </is>
      </c>
      <c r="B19" s="21" t="inlineStr">
        <is>
          <t>SPI Master</t>
        </is>
      </c>
      <c r="C19" s="22" t="n">
        <v>268550144</v>
      </c>
      <c r="D19" s="22" t="n">
        <v>268554239</v>
      </c>
      <c r="E19" s="49" t="n">
        <v>4096</v>
      </c>
      <c r="F19" s="50" t="inlineStr">
        <is>
          <t>AWADDR[11:0]</t>
        </is>
      </c>
      <c r="G19" s="4" t="inlineStr">
        <is>
          <t>default ERROR port (3'd100)</t>
        </is>
      </c>
      <c r="H19" s="51" t="inlineStr">
        <is>
          <t>NOT DECODED</t>
        </is>
      </c>
      <c r="I19" s="52" t="inlineStr">
        <is>
          <t>NONE - guard windows get no AXI window. The fabric skips them, so a stray access cannot be routed anywhere useful.</t>
        </is>
      </c>
      <c r="J19" s="4" t="inlineStr">
        <is>
          <t>Fabric has no spare slot (only M00-M07). AHB-direct attach, or extend the wrapper beyond 8 windows.</t>
        </is>
      </c>
      <c r="K19" s="4" t="inlineStr">
        <is>
          <t>TBC</t>
        </is>
      </c>
      <c r="L19" s="4" t="inlineStr">
        <is>
          <t>Decide AHB-direct vs AXI. If AXI, the 2x8 wrapper needs slots beyond M07 - all eight are taken by the frozen blocks.</t>
        </is>
      </c>
      <c r="M19" s="39" t="inlineStr">
        <is>
          <t>RESERVED</t>
        </is>
      </c>
    </row>
    <row customHeight="1" ht="54" r="20">
      <c r="A20" s="36" t="inlineStr">
        <is>
          <t>MMIO-16</t>
        </is>
      </c>
      <c r="B20" s="31" t="inlineStr">
        <is>
          <t>Reserved for expansion</t>
        </is>
      </c>
      <c r="C20" s="33" t="n">
        <v>268558336</v>
      </c>
      <c r="D20" s="33" t="n">
        <v>268562431</v>
      </c>
      <c r="E20" s="53" t="n">
        <v>4096</v>
      </c>
      <c r="F20" s="54" t="inlineStr">
        <is>
          <t>AWADDR[11:0]</t>
        </is>
      </c>
      <c r="G20" s="32" t="inlineStr">
        <is>
          <t>default ERROR port (3'd100)</t>
        </is>
      </c>
      <c r="H20" s="55" t="inlineStr">
        <is>
          <t>NOT DECODED</t>
        </is>
      </c>
      <c r="I20" s="56" t="inlineStr">
        <is>
          <t>NONE - guard windows get no AXI window. The fabric skips them, so a stray access cannot be routed anywhere useful.</t>
        </is>
      </c>
      <c r="J20" s="32" t="inlineStr">
        <is>
          <t>Fabric has no spare slot (only M00-M07). AHB-direct attach, or extend the wrapper beyond 8 windows.</t>
        </is>
      </c>
      <c r="K20" s="32" t="inlineStr">
        <is>
          <t>TBC</t>
        </is>
      </c>
      <c r="L20" s="32" t="inlineStr">
        <is>
          <t>Decide AHB-direct vs AXI. If AXI, the 2x8 wrapper needs slots beyond M07 - all eight are taken by the frozen blocks.</t>
        </is>
      </c>
      <c r="M20" s="39" t="inlineStr">
        <is>
          <t>RESERVED</t>
        </is>
      </c>
    </row>
    <row customHeight="1" ht="40" r="21">
      <c r="A21" s="36" t="inlineStr">
        <is>
          <t>GRD-01</t>
        </is>
      </c>
      <c r="B21" s="31" t="inlineStr">
        <is>
          <t>Guard window (after UART)</t>
        </is>
      </c>
      <c r="C21" s="33" t="n">
        <v>268439552</v>
      </c>
      <c r="D21" s="33" t="n">
        <v>268443647</v>
      </c>
      <c r="E21" s="53" t="n">
        <v>4096</v>
      </c>
      <c r="F21" s="54" t="inlineStr">
        <is>
          <t>AWADDR[11:0]</t>
        </is>
      </c>
      <c r="G21" s="32" t="inlineStr">
        <is>
          <t>default ERROR port (3'd100)</t>
        </is>
      </c>
      <c r="H21" s="38" t="inlineStr">
        <is>
          <t>NOT DECODED (by design)</t>
        </is>
      </c>
      <c r="I21" s="56" t="inlineStr">
        <is>
          <t>NONE - guard</t>
        </is>
      </c>
      <c r="J21" s="32" t="inlineStr">
        <is>
          <t>NONE - guard windows get no AXI window. The fabric skips them, so a stray access cannot be routed anywhere useful.</t>
        </is>
      </c>
      <c r="K21" s="32" t="inlineStr">
        <is>
          <t>none</t>
        </is>
      </c>
      <c r="L21" s="32" t="inlineStr">
        <is>
          <t>Intentionally unassigned. Keep it undecoded so it is a clean negative-test target.</t>
        </is>
      </c>
      <c r="M21" s="41" t="inlineStr">
        <is>
          <t>GUARD</t>
        </is>
      </c>
    </row>
    <row customHeight="1" ht="40" r="22">
      <c r="A22" s="25" t="inlineStr">
        <is>
          <t>GRD-02</t>
        </is>
      </c>
      <c r="B22" s="21" t="inlineStr">
        <is>
          <t>Guard window (after Timer)</t>
        </is>
      </c>
      <c r="C22" s="22" t="n">
        <v>268447744</v>
      </c>
      <c r="D22" s="22" t="n">
        <v>268451839</v>
      </c>
      <c r="E22" s="49" t="n">
        <v>4096</v>
      </c>
      <c r="F22" s="50" t="inlineStr">
        <is>
          <t>AWADDR[11:0]</t>
        </is>
      </c>
      <c r="G22" s="4" t="inlineStr">
        <is>
          <t>default ERROR port (3'd100)</t>
        </is>
      </c>
      <c r="H22" s="27" t="inlineStr">
        <is>
          <t>NOT DECODED (by design)</t>
        </is>
      </c>
      <c r="I22" s="52" t="inlineStr">
        <is>
          <t>NONE - guard</t>
        </is>
      </c>
      <c r="J22" s="4" t="inlineStr">
        <is>
          <t>NONE - guard windows get no AXI window. The fabric skips them, so a stray access cannot be routed anywhere useful.</t>
        </is>
      </c>
      <c r="K22" s="4" t="inlineStr">
        <is>
          <t>none</t>
        </is>
      </c>
      <c r="L22" s="4" t="inlineStr">
        <is>
          <t>Intentionally unassigned. Keep it undecoded so it is a clean negative-test target.</t>
        </is>
      </c>
      <c r="M22" s="41" t="inlineStr">
        <is>
          <t>GUARD</t>
        </is>
      </c>
    </row>
    <row customHeight="1" ht="40" r="23">
      <c r="A23" s="36" t="inlineStr">
        <is>
          <t>GRD-03</t>
        </is>
      </c>
      <c r="B23" s="31" t="inlineStr">
        <is>
          <t>Guard window (after GPIO)</t>
        </is>
      </c>
      <c r="C23" s="33" t="n">
        <v>268455936</v>
      </c>
      <c r="D23" s="33" t="n">
        <v>268460031</v>
      </c>
      <c r="E23" s="53" t="n">
        <v>4096</v>
      </c>
      <c r="F23" s="54" t="inlineStr">
        <is>
          <t>AWADDR[11:0]</t>
        </is>
      </c>
      <c r="G23" s="32" t="inlineStr">
        <is>
          <t>default ERROR port (3'd100)</t>
        </is>
      </c>
      <c r="H23" s="38" t="inlineStr">
        <is>
          <t>NOT DECODED (by design)</t>
        </is>
      </c>
      <c r="I23" s="56" t="inlineStr">
        <is>
          <t>NONE - guard</t>
        </is>
      </c>
      <c r="J23" s="32" t="inlineStr">
        <is>
          <t>NONE - guard windows get no AXI window. The fabric skips them, so a stray access cannot be routed anywhere useful.</t>
        </is>
      </c>
      <c r="K23" s="32" t="inlineStr">
        <is>
          <t>none</t>
        </is>
      </c>
      <c r="L23" s="32" t="inlineStr">
        <is>
          <t>Intentionally unassigned. Keep it undecoded so it is a clean negative-test target.</t>
        </is>
      </c>
      <c r="M23" s="41" t="inlineStr">
        <is>
          <t>GUARD</t>
        </is>
      </c>
    </row>
    <row customHeight="1" ht="40" r="24">
      <c r="A24" s="25" t="inlineStr">
        <is>
          <t>GRD-04</t>
        </is>
      </c>
      <c r="B24" s="21" t="inlineStr">
        <is>
          <t>Guard window (after Network Telemetry Engine (NTE))</t>
        </is>
      </c>
      <c r="C24" s="22" t="n">
        <v>268464128</v>
      </c>
      <c r="D24" s="22" t="n">
        <v>268468223</v>
      </c>
      <c r="E24" s="49" t="n">
        <v>4096</v>
      </c>
      <c r="F24" s="50" t="inlineStr">
        <is>
          <t>AWADDR[11:0]</t>
        </is>
      </c>
      <c r="G24" s="4" t="inlineStr">
        <is>
          <t>default ERROR port (3'd100)</t>
        </is>
      </c>
      <c r="H24" s="27" t="inlineStr">
        <is>
          <t>NOT DECODED (by design)</t>
        </is>
      </c>
      <c r="I24" s="52" t="inlineStr">
        <is>
          <t>NONE - guard</t>
        </is>
      </c>
      <c r="J24" s="4" t="inlineStr">
        <is>
          <t>NONE - guard windows get no AXI window. The fabric skips them, so a stray access cannot be routed anywhere useful.</t>
        </is>
      </c>
      <c r="K24" s="4" t="inlineStr">
        <is>
          <t>none</t>
        </is>
      </c>
      <c r="L24" s="4" t="inlineStr">
        <is>
          <t>Intentionally unassigned. Keep it undecoded so it is a clean negative-test target.</t>
        </is>
      </c>
      <c r="M24" s="41" t="inlineStr">
        <is>
          <t>GUARD</t>
        </is>
      </c>
    </row>
    <row customHeight="1" ht="40" r="25">
      <c r="A25" s="36" t="inlineStr">
        <is>
          <t>GRD-05</t>
        </is>
      </c>
      <c r="B25" s="31" t="inlineStr">
        <is>
          <t>Guard window (after AES-128 Accelerator)</t>
        </is>
      </c>
      <c r="C25" s="33" t="n">
        <v>268472320</v>
      </c>
      <c r="D25" s="33" t="n">
        <v>268476415</v>
      </c>
      <c r="E25" s="53" t="n">
        <v>4096</v>
      </c>
      <c r="F25" s="54" t="inlineStr">
        <is>
          <t>AWADDR[11:0]</t>
        </is>
      </c>
      <c r="G25" s="32" t="inlineStr">
        <is>
          <t>default ERROR port (3'd100)</t>
        </is>
      </c>
      <c r="H25" s="38" t="inlineStr">
        <is>
          <t>NOT DECODED (by design)</t>
        </is>
      </c>
      <c r="I25" s="56" t="inlineStr">
        <is>
          <t>NONE - guard</t>
        </is>
      </c>
      <c r="J25" s="32" t="inlineStr">
        <is>
          <t>NONE - guard windows get no AXI window. The fabric skips them, so a stray access cannot be routed anywhere useful.</t>
        </is>
      </c>
      <c r="K25" s="32" t="inlineStr">
        <is>
          <t>none</t>
        </is>
      </c>
      <c r="L25" s="32" t="inlineStr">
        <is>
          <t>Intentionally unassigned. Keep it undecoded so it is a clean negative-test target.</t>
        </is>
      </c>
      <c r="M25" s="41" t="inlineStr">
        <is>
          <t>GUARD</t>
        </is>
      </c>
    </row>
    <row customHeight="1" ht="40" r="26">
      <c r="A26" s="25" t="inlineStr">
        <is>
          <t>GRD-06</t>
        </is>
      </c>
      <c r="B26" s="21" t="inlineStr">
        <is>
          <t>Guard window (after CRC-32 / FCS Checker)</t>
        </is>
      </c>
      <c r="C26" s="22" t="n">
        <v>268480512</v>
      </c>
      <c r="D26" s="22" t="n">
        <v>268484607</v>
      </c>
      <c r="E26" s="49" t="n">
        <v>4096</v>
      </c>
      <c r="F26" s="50" t="inlineStr">
        <is>
          <t>AWADDR[11:0]</t>
        </is>
      </c>
      <c r="G26" s="4" t="inlineStr">
        <is>
          <t>default ERROR port (3'd100)</t>
        </is>
      </c>
      <c r="H26" s="27" t="inlineStr">
        <is>
          <t>NOT DECODED (by design)</t>
        </is>
      </c>
      <c r="I26" s="52" t="inlineStr">
        <is>
          <t>NONE - guard</t>
        </is>
      </c>
      <c r="J26" s="4" t="inlineStr">
        <is>
          <t>NONE - guard windows get no AXI window. The fabric skips them, so a stray access cannot be routed anywhere useful.</t>
        </is>
      </c>
      <c r="K26" s="4" t="inlineStr">
        <is>
          <t>none</t>
        </is>
      </c>
      <c r="L26" s="4" t="inlineStr">
        <is>
          <t>Intentionally unassigned. Keep it undecoded so it is a clean negative-test target.</t>
        </is>
      </c>
      <c r="M26" s="41" t="inlineStr">
        <is>
          <t>GUARD</t>
        </is>
      </c>
    </row>
    <row customHeight="1" ht="40" r="27">
      <c r="A27" s="36" t="inlineStr">
        <is>
          <t>GRD-07</t>
        </is>
      </c>
      <c r="B27" s="31" t="inlineStr">
        <is>
          <t>Guard window (after Ethernet MAC)</t>
        </is>
      </c>
      <c r="C27" s="33" t="n">
        <v>268488704</v>
      </c>
      <c r="D27" s="33" t="n">
        <v>268492799</v>
      </c>
      <c r="E27" s="53" t="n">
        <v>4096</v>
      </c>
      <c r="F27" s="54" t="inlineStr">
        <is>
          <t>AWADDR[11:0]</t>
        </is>
      </c>
      <c r="G27" s="32" t="inlineStr">
        <is>
          <t>default ERROR port (3'd100)</t>
        </is>
      </c>
      <c r="H27" s="38" t="inlineStr">
        <is>
          <t>NOT DECODED (by design)</t>
        </is>
      </c>
      <c r="I27" s="56" t="inlineStr">
        <is>
          <t>NONE - guard</t>
        </is>
      </c>
      <c r="J27" s="32" t="inlineStr">
        <is>
          <t>NONE - guard windows get no AXI window. The fabric skips them, so a stray access cannot be routed anywhere useful.</t>
        </is>
      </c>
      <c r="K27" s="32" t="inlineStr">
        <is>
          <t>none</t>
        </is>
      </c>
      <c r="L27" s="32" t="inlineStr">
        <is>
          <t>Intentionally unassigned. Keep it undecoded so it is a clean negative-test target.</t>
        </is>
      </c>
      <c r="M27" s="41" t="inlineStr">
        <is>
          <t>GUARD</t>
        </is>
      </c>
    </row>
    <row customHeight="1" ht="40" r="28">
      <c r="A28" s="25" t="inlineStr">
        <is>
          <t>GRD-08</t>
        </is>
      </c>
      <c r="B28" s="21" t="inlineStr">
        <is>
          <t>Guard window (after Hardware Timestamp Unit)</t>
        </is>
      </c>
      <c r="C28" s="22" t="n">
        <v>268496896</v>
      </c>
      <c r="D28" s="22" t="n">
        <v>268500991</v>
      </c>
      <c r="E28" s="49" t="n">
        <v>4096</v>
      </c>
      <c r="F28" s="50" t="inlineStr">
        <is>
          <t>AWADDR[11:0]</t>
        </is>
      </c>
      <c r="G28" s="4" t="inlineStr">
        <is>
          <t>default ERROR port (3'd100)</t>
        </is>
      </c>
      <c r="H28" s="27" t="inlineStr">
        <is>
          <t>NOT DECODED (by design)</t>
        </is>
      </c>
      <c r="I28" s="52" t="inlineStr">
        <is>
          <t>NONE - guard</t>
        </is>
      </c>
      <c r="J28" s="4" t="inlineStr">
        <is>
          <t>NONE - guard windows get no AXI window. The fabric skips them, so a stray access cannot be routed anywhere useful.</t>
        </is>
      </c>
      <c r="K28" s="4" t="inlineStr">
        <is>
          <t>none</t>
        </is>
      </c>
      <c r="L28" s="4" t="inlineStr">
        <is>
          <t>Intentionally unassigned. Keep it undecoded so it is a clean negative-test target.</t>
        </is>
      </c>
      <c r="M28" s="41" t="inlineStr">
        <is>
          <t>GUARD</t>
        </is>
      </c>
    </row>
    <row customHeight="1" ht="40" r="29">
      <c r="A29" s="36" t="inlineStr">
        <is>
          <t>GRD-09</t>
        </is>
      </c>
      <c r="B29" s="31" t="inlineStr">
        <is>
          <t>Guard window (after Packet / Flow Buffer)</t>
        </is>
      </c>
      <c r="C29" s="33" t="n">
        <v>268505088</v>
      </c>
      <c r="D29" s="33" t="n">
        <v>268509183</v>
      </c>
      <c r="E29" s="53" t="n">
        <v>4096</v>
      </c>
      <c r="F29" s="54" t="inlineStr">
        <is>
          <t>AWADDR[11:0]</t>
        </is>
      </c>
      <c r="G29" s="32" t="inlineStr">
        <is>
          <t>default ERROR port (3'd100)</t>
        </is>
      </c>
      <c r="H29" s="38" t="inlineStr">
        <is>
          <t>NOT DECODED (by design)</t>
        </is>
      </c>
      <c r="I29" s="56" t="inlineStr">
        <is>
          <t>NONE - guard</t>
        </is>
      </c>
      <c r="J29" s="32" t="inlineStr">
        <is>
          <t>NONE - guard windows get no AXI window. The fabric skips them, so a stray access cannot be routed anywhere useful.</t>
        </is>
      </c>
      <c r="K29" s="32" t="inlineStr">
        <is>
          <t>none</t>
        </is>
      </c>
      <c r="L29" s="32" t="inlineStr">
        <is>
          <t>Intentionally unassigned. Keep it undecoded so it is a clean negative-test target.</t>
        </is>
      </c>
      <c r="M29" s="41" t="inlineStr">
        <is>
          <t>GUARD</t>
        </is>
      </c>
    </row>
    <row customHeight="1" ht="40" r="30">
      <c r="A30" s="25" t="inlineStr">
        <is>
          <t>GRD-10</t>
        </is>
      </c>
      <c r="B30" s="21" t="inlineStr">
        <is>
          <t>Guard window (after DMA Controller)</t>
        </is>
      </c>
      <c r="C30" s="22" t="n">
        <v>268513280</v>
      </c>
      <c r="D30" s="22" t="n">
        <v>268517375</v>
      </c>
      <c r="E30" s="49" t="n">
        <v>4096</v>
      </c>
      <c r="F30" s="50" t="inlineStr">
        <is>
          <t>AWADDR[11:0]</t>
        </is>
      </c>
      <c r="G30" s="4" t="inlineStr">
        <is>
          <t>default ERROR port (3'd100)</t>
        </is>
      </c>
      <c r="H30" s="27" t="inlineStr">
        <is>
          <t>NOT DECODED (by design)</t>
        </is>
      </c>
      <c r="I30" s="52" t="inlineStr">
        <is>
          <t>NONE - guard</t>
        </is>
      </c>
      <c r="J30" s="4" t="inlineStr">
        <is>
          <t>NONE - guard windows get no AXI window. The fabric skips them, so a stray access cannot be routed anywhere useful.</t>
        </is>
      </c>
      <c r="K30" s="4" t="inlineStr">
        <is>
          <t>none</t>
        </is>
      </c>
      <c r="L30" s="4" t="inlineStr">
        <is>
          <t>Intentionally unassigned. Keep it undecoded so it is a clean negative-test target.</t>
        </is>
      </c>
      <c r="M30" s="41" t="inlineStr">
        <is>
          <t>GUARD</t>
        </is>
      </c>
    </row>
    <row customHeight="1" ht="40" r="31">
      <c r="A31" s="36" t="inlineStr">
        <is>
          <t>GRD-11</t>
        </is>
      </c>
      <c r="B31" s="31" t="inlineStr">
        <is>
          <t>Guard window (after SHA-256 Accelerator)</t>
        </is>
      </c>
      <c r="C31" s="33" t="n">
        <v>268521472</v>
      </c>
      <c r="D31" s="33" t="n">
        <v>268525567</v>
      </c>
      <c r="E31" s="53" t="n">
        <v>4096</v>
      </c>
      <c r="F31" s="54" t="inlineStr">
        <is>
          <t>AWADDR[11:0]</t>
        </is>
      </c>
      <c r="G31" s="32" t="inlineStr">
        <is>
          <t>default ERROR port (3'd100)</t>
        </is>
      </c>
      <c r="H31" s="38" t="inlineStr">
        <is>
          <t>NOT DECODED (by design)</t>
        </is>
      </c>
      <c r="I31" s="56" t="inlineStr">
        <is>
          <t>NONE - guard</t>
        </is>
      </c>
      <c r="J31" s="32" t="inlineStr">
        <is>
          <t>NONE - guard windows get no AXI window. The fabric skips them, so a stray access cannot be routed anywhere useful.</t>
        </is>
      </c>
      <c r="K31" s="32" t="inlineStr">
        <is>
          <t>none</t>
        </is>
      </c>
      <c r="L31" s="32" t="inlineStr">
        <is>
          <t>Intentionally unassigned. Keep it undecoded so it is a clean negative-test target.</t>
        </is>
      </c>
      <c r="M31" s="41" t="inlineStr">
        <is>
          <t>GUARD</t>
        </is>
      </c>
    </row>
    <row customHeight="1" ht="40" r="32">
      <c r="A32" s="25" t="inlineStr">
        <is>
          <t>GRD-12</t>
        </is>
      </c>
      <c r="B32" s="21" t="inlineStr">
        <is>
          <t>Guard window (after Packet Parser / Classifier)</t>
        </is>
      </c>
      <c r="C32" s="22" t="n">
        <v>268529664</v>
      </c>
      <c r="D32" s="22" t="n">
        <v>268533759</v>
      </c>
      <c r="E32" s="49" t="n">
        <v>4096</v>
      </c>
      <c r="F32" s="50" t="inlineStr">
        <is>
          <t>AWADDR[11:0]</t>
        </is>
      </c>
      <c r="G32" s="4" t="inlineStr">
        <is>
          <t>default ERROR port (3'd100)</t>
        </is>
      </c>
      <c r="H32" s="27" t="inlineStr">
        <is>
          <t>NOT DECODED (by design)</t>
        </is>
      </c>
      <c r="I32" s="52" t="inlineStr">
        <is>
          <t>NONE - guard</t>
        </is>
      </c>
      <c r="J32" s="4" t="inlineStr">
        <is>
          <t>NONE - guard windows get no AXI window. The fabric skips them, so a stray access cannot be routed anywhere useful.</t>
        </is>
      </c>
      <c r="K32" s="4" t="inlineStr">
        <is>
          <t>none</t>
        </is>
      </c>
      <c r="L32" s="4" t="inlineStr">
        <is>
          <t>Intentionally unassigned. Keep it undecoded so it is a clean negative-test target.</t>
        </is>
      </c>
      <c r="M32" s="41" t="inlineStr">
        <is>
          <t>GUARD</t>
        </is>
      </c>
    </row>
    <row customHeight="1" ht="40" r="33">
      <c r="A33" s="36" t="inlineStr">
        <is>
          <t>GRD-13</t>
        </is>
      </c>
      <c r="B33" s="31" t="inlineStr">
        <is>
          <t>Guard window (after Watchdog Timer)</t>
        </is>
      </c>
      <c r="C33" s="33" t="n">
        <v>268537856</v>
      </c>
      <c r="D33" s="33" t="n">
        <v>268541951</v>
      </c>
      <c r="E33" s="53" t="n">
        <v>4096</v>
      </c>
      <c r="F33" s="54" t="inlineStr">
        <is>
          <t>AWADDR[11:0]</t>
        </is>
      </c>
      <c r="G33" s="32" t="inlineStr">
        <is>
          <t>default ERROR port (3'd100)</t>
        </is>
      </c>
      <c r="H33" s="38" t="inlineStr">
        <is>
          <t>NOT DECODED (by design)</t>
        </is>
      </c>
      <c r="I33" s="56" t="inlineStr">
        <is>
          <t>NONE - guard</t>
        </is>
      </c>
      <c r="J33" s="32" t="inlineStr">
        <is>
          <t>NONE - guard windows get no AXI window. The fabric skips them, so a stray access cannot be routed anywhere useful.</t>
        </is>
      </c>
      <c r="K33" s="32" t="inlineStr">
        <is>
          <t>none</t>
        </is>
      </c>
      <c r="L33" s="32" t="inlineStr">
        <is>
          <t>Intentionally unassigned. Keep it undecoded so it is a clean negative-test target.</t>
        </is>
      </c>
      <c r="M33" s="41" t="inlineStr">
        <is>
          <t>GUARD</t>
        </is>
      </c>
    </row>
    <row customHeight="1" ht="40" r="34">
      <c r="A34" s="25" t="inlineStr">
        <is>
          <t>GRD-14</t>
        </is>
      </c>
      <c r="B34" s="21" t="inlineStr">
        <is>
          <t>Guard window (after PRNG)</t>
        </is>
      </c>
      <c r="C34" s="22" t="n">
        <v>268546048</v>
      </c>
      <c r="D34" s="22" t="n">
        <v>268550143</v>
      </c>
      <c r="E34" s="49" t="n">
        <v>4096</v>
      </c>
      <c r="F34" s="50" t="inlineStr">
        <is>
          <t>AWADDR[11:0]</t>
        </is>
      </c>
      <c r="G34" s="4" t="inlineStr">
        <is>
          <t>default ERROR port (3'd100)</t>
        </is>
      </c>
      <c r="H34" s="27" t="inlineStr">
        <is>
          <t>NOT DECODED (by design)</t>
        </is>
      </c>
      <c r="I34" s="52" t="inlineStr">
        <is>
          <t>NONE - guard</t>
        </is>
      </c>
      <c r="J34" s="4" t="inlineStr">
        <is>
          <t>NONE - guard windows get no AXI window. The fabric skips them, so a stray access cannot be routed anywhere useful.</t>
        </is>
      </c>
      <c r="K34" s="4" t="inlineStr">
        <is>
          <t>none</t>
        </is>
      </c>
      <c r="L34" s="4" t="inlineStr">
        <is>
          <t>Intentionally unassigned. Keep it undecoded so it is a clean negative-test target.</t>
        </is>
      </c>
      <c r="M34" s="41" t="inlineStr">
        <is>
          <t>GUARD</t>
        </is>
      </c>
    </row>
    <row customHeight="1" ht="40" r="35">
      <c r="A35" s="36" t="inlineStr">
        <is>
          <t>GRD-15</t>
        </is>
      </c>
      <c r="B35" s="31" t="inlineStr">
        <is>
          <t>Guard window (after SPI Master)</t>
        </is>
      </c>
      <c r="C35" s="33" t="n">
        <v>268554240</v>
      </c>
      <c r="D35" s="33" t="n">
        <v>268558335</v>
      </c>
      <c r="E35" s="53" t="n">
        <v>4096</v>
      </c>
      <c r="F35" s="54" t="inlineStr">
        <is>
          <t>AWADDR[11:0]</t>
        </is>
      </c>
      <c r="G35" s="32" t="inlineStr">
        <is>
          <t>default ERROR port (3'd100)</t>
        </is>
      </c>
      <c r="H35" s="38" t="inlineStr">
        <is>
          <t>NOT DECODED (by design)</t>
        </is>
      </c>
      <c r="I35" s="56" t="inlineStr">
        <is>
          <t>NONE - guard</t>
        </is>
      </c>
      <c r="J35" s="32" t="inlineStr">
        <is>
          <t>NONE - guard windows get no AXI window. The fabric skips them, so a stray access cannot be routed anywhere useful.</t>
        </is>
      </c>
      <c r="K35" s="32" t="inlineStr">
        <is>
          <t>none</t>
        </is>
      </c>
      <c r="L35" s="32" t="inlineStr">
        <is>
          <t>Intentionally unassigned. Keep it undecoded so it is a clean negative-test target.</t>
        </is>
      </c>
      <c r="M35" s="41" t="inlineStr">
        <is>
          <t>GUARD</t>
        </is>
      </c>
    </row>
    <row customHeight="1" ht="40" r="36">
      <c r="A36" s="25" t="inlineStr">
        <is>
          <t>GRD-16</t>
        </is>
      </c>
      <c r="B36" s="21" t="inlineStr">
        <is>
          <t>Guard window (after Reserved for expansion)</t>
        </is>
      </c>
      <c r="C36" s="22" t="n">
        <v>268562432</v>
      </c>
      <c r="D36" s="22" t="n">
        <v>268566527</v>
      </c>
      <c r="E36" s="49" t="n">
        <v>4096</v>
      </c>
      <c r="F36" s="50" t="inlineStr">
        <is>
          <t>AWADDR[11:0]</t>
        </is>
      </c>
      <c r="G36" s="4" t="inlineStr">
        <is>
          <t>default ERROR port (3'd100)</t>
        </is>
      </c>
      <c r="H36" s="27" t="inlineStr">
        <is>
          <t>NOT DECODED (by design)</t>
        </is>
      </c>
      <c r="I36" s="52" t="inlineStr">
        <is>
          <t>NONE - guard</t>
        </is>
      </c>
      <c r="J36" s="4" t="inlineStr">
        <is>
          <t>NONE - guard windows get no AXI window. The fabric skips them, so a stray access cannot be routed anywhere useful.</t>
        </is>
      </c>
      <c r="K36" s="4" t="inlineStr">
        <is>
          <t>none</t>
        </is>
      </c>
      <c r="L36" s="4" t="inlineStr">
        <is>
          <t>Intentionally unassigned. Keep it undecoded so it is a clean negative-test target.</t>
        </is>
      </c>
      <c r="M36" s="41" t="inlineStr">
        <is>
          <t>GUARD</t>
        </is>
      </c>
    </row>
  </sheetData>
  <autoFilter ref="A4:M36"/>
  <mergeCells count="2">
    <mergeCell ref="A1:M1"/>
    <mergeCell ref="A2:M2"/>
  </mergeCells>
  <printOptions horizontalCentered="1"/>
  <pageMargins bottom="0.4" footer="0.5" header="0.5" left="0.3" right="0.3" top="0.4"/>
  <pageSetup fitToHeight="0" fitToWidth="1" orientation="landscape"/>
  <headerFooter>
    <oddHeader/>
    <oddFooter>&amp;C&amp;8 &amp;A  |  Rev B (Re-pitched MMIO aperture, draft for Architecture Freeze)  |  Page &amp;P of &amp;N</oddFooter>
    <evenHeader/>
    <evenFooter/>
    <firstHeader/>
    <firstFooter/>
  </headerFooter>
</worksheet>
</file>

<file path=xl/worksheets/sheet4.xml><?xml version="1.0" encoding="utf-8"?>
<worksheet xmlns="http://schemas.openxmlformats.org/spreadsheetml/2006/main">
  <sheetPr>
    <tabColor rgb="007F6000"/>
    <outlinePr summaryBelow="1" summaryRight="1"/>
    <pageSetUpPr fitToPage="1"/>
  </sheetPr>
  <dimension ref="A1:L134"/>
  <sheetViews>
    <sheetView showGridLines="0" workbookViewId="0">
      <pane activePane="bottomRight" state="frozen" topLeftCell="C5" xSplit="2" ySplit="4"/>
      <selection pane="topRight"/>
      <selection pane="bottomLeft"/>
      <selection activeCell="A1" pane="bottomRight" sqref="A1"/>
    </sheetView>
  </sheetViews>
  <sheetFormatPr baseColWidth="8" defaultRowHeight="15"/>
  <cols>
    <col customWidth="1" max="1" min="1" width="26"/>
    <col customWidth="1" max="2" min="2" width="14"/>
    <col customWidth="1" max="3" min="3" width="10"/>
    <col customWidth="1" max="4" min="4" width="11"/>
    <col customWidth="1" max="5" min="5" width="16"/>
    <col customWidth="1" max="6" min="6" width="22"/>
    <col customWidth="1" max="7" min="7" width="9"/>
    <col customWidth="1" max="8" min="8" width="13"/>
    <col customWidth="1" max="9" min="9" width="8"/>
    <col customWidth="1" max="10" min="10" width="54"/>
    <col customWidth="1" max="11" min="11" width="24"/>
    <col customWidth="1" max="12" min="12" width="13"/>
  </cols>
  <sheetData>
    <row customHeight="1" ht="22" r="1">
      <c r="A1" s="15" t="inlineStr">
        <is>
          <t>3. Register Maps by Peripheral</t>
        </is>
      </c>
    </row>
    <row customHeight="1" ht="40" r="2">
      <c r="A2" s="16" t="inlineStr">
        <is>
          <t>Offset-level register map for Rev B. Absolute addresses are computed from the Rev B window bases on sheet 1. DRAFT rows are proposals made in this workbook and are not from any specification document. Offsets are unchanged from Rev A - only the window bases moved.</t>
        </is>
      </c>
      <c r="B2" s="17" t="n"/>
      <c r="C2" s="17" t="n"/>
      <c r="D2" s="17" t="n"/>
      <c r="E2" s="17" t="n"/>
      <c r="F2" s="17" t="n"/>
      <c r="G2" s="17" t="n"/>
      <c r="H2" s="17" t="n"/>
      <c r="I2" s="17" t="n"/>
      <c r="J2" s="17" t="n"/>
      <c r="K2" s="17" t="n"/>
      <c r="L2" s="17" t="n"/>
    </row>
    <row customHeight="1" ht="34" r="4">
      <c r="A4" s="18" t="inlineStr">
        <is>
          <t>Block</t>
        </is>
      </c>
      <c r="B4" s="18" t="inlineStr">
        <is>
          <t>Window Base</t>
        </is>
      </c>
      <c r="C4" s="18" t="inlineStr">
        <is>
          <t>Offset</t>
        </is>
      </c>
      <c r="D4" s="18" t="inlineStr">
        <is>
          <t>Offset (dec)</t>
        </is>
      </c>
      <c r="E4" s="18" t="inlineStr">
        <is>
          <t>Absolute Address</t>
        </is>
      </c>
      <c r="F4" s="18" t="inlineStr">
        <is>
          <t>Register Name</t>
        </is>
      </c>
      <c r="G4" s="18" t="inlineStr">
        <is>
          <t>Access</t>
        </is>
      </c>
      <c r="H4" s="18" t="inlineStr">
        <is>
          <t>Reset Value</t>
        </is>
      </c>
      <c r="I4" s="18" t="inlineStr">
        <is>
          <t>Width</t>
        </is>
      </c>
      <c r="J4" s="18" t="inlineStr">
        <is>
          <t>Description</t>
        </is>
      </c>
      <c r="K4" s="18" t="inlineStr">
        <is>
          <t>Spec Source</t>
        </is>
      </c>
      <c r="L4" s="18" t="inlineStr">
        <is>
          <t>Freeze Status</t>
        </is>
      </c>
    </row>
    <row r="5">
      <c r="A5" s="21" t="inlineStr">
        <is>
          <t>UART (v3 s10.1 table)</t>
        </is>
      </c>
      <c r="B5" s="22" t="n">
        <v>268435456</v>
      </c>
      <c r="C5" s="57" t="n">
        <v>0</v>
      </c>
      <c r="D5" s="49" t="n">
        <v>0</v>
      </c>
      <c r="E5" s="22" t="n">
        <v>268435456</v>
      </c>
      <c r="F5" s="19" t="inlineStr">
        <is>
          <t>TXDATA</t>
        </is>
      </c>
      <c r="G5" s="58" t="inlineStr">
        <is>
          <t>W</t>
        </is>
      </c>
      <c r="H5" s="22" t="n"/>
      <c r="I5" s="24" t="n">
        <v>32</v>
      </c>
      <c r="J5" s="4" t="inlineStr">
        <is>
          <t>Byte to transmit; write initiates transmission (v3 wording). IMPLEMENTED OFFSET 0x00 is THR/RBR - name differs, behaviour matches.</t>
        </is>
      </c>
      <c r="K5" s="4" t="inlineStr">
        <is>
          <t>v3 s10.1 (SUPERSEDED)</t>
        </is>
      </c>
      <c r="L5" s="28" t="inlineStr">
        <is>
          <t>FROZEN</t>
        </is>
      </c>
    </row>
    <row r="6">
      <c r="A6" s="31" t="inlineStr">
        <is>
          <t>UART (v3 s10.1 table)</t>
        </is>
      </c>
      <c r="B6" s="33" t="n">
        <v>268435456</v>
      </c>
      <c r="C6" s="59" t="n">
        <v>4</v>
      </c>
      <c r="D6" s="53" t="n">
        <v>4</v>
      </c>
      <c r="E6" s="33" t="n">
        <v>268435460</v>
      </c>
      <c r="F6" s="29" t="inlineStr">
        <is>
          <t>RXDATA</t>
        </is>
      </c>
      <c r="G6" s="60" t="inlineStr">
        <is>
          <t>R</t>
        </is>
      </c>
      <c r="H6" s="33" t="n"/>
      <c r="I6" s="35" t="n">
        <v>32</v>
      </c>
      <c r="J6" s="32" t="inlineStr">
        <is>
          <t>Reserved for future receive capability. IMPLEMENTED OFFSET 0x04 is IER - see the IP-native table below.</t>
        </is>
      </c>
      <c r="K6" s="32" t="inlineStr">
        <is>
          <t>v3 s10.1 (SUPERSEDED)</t>
        </is>
      </c>
      <c r="L6" s="28" t="inlineStr">
        <is>
          <t>FROZEN</t>
        </is>
      </c>
    </row>
    <row r="7">
      <c r="A7" s="21" t="inlineStr">
        <is>
          <t>UART (v3 s10.1 table)</t>
        </is>
      </c>
      <c r="B7" s="22" t="n">
        <v>268435456</v>
      </c>
      <c r="C7" s="57" t="n">
        <v>8</v>
      </c>
      <c r="D7" s="49" t="n">
        <v>8</v>
      </c>
      <c r="E7" s="22" t="n">
        <v>268435464</v>
      </c>
      <c r="F7" s="19" t="inlineStr">
        <is>
          <t>STATUS</t>
        </is>
      </c>
      <c r="G7" s="58" t="inlineStr">
        <is>
          <t>R</t>
        </is>
      </c>
      <c r="H7" s="22" t="n"/>
      <c r="I7" s="24" t="n">
        <v>32</v>
      </c>
      <c r="J7" s="4" t="inlineStr">
        <is>
          <t>TX_BUSY. IMPLEMENTED OFFSET 0x08 is the baud divisor (DLAB=1), not STATUS.</t>
        </is>
      </c>
      <c r="K7" s="4" t="inlineStr">
        <is>
          <t>v3 s10.1 (SUPERSEDED)</t>
        </is>
      </c>
      <c r="L7" s="28" t="inlineStr">
        <is>
          <t>FROZEN</t>
        </is>
      </c>
    </row>
    <row r="8">
      <c r="A8" s="31" t="inlineStr">
        <is>
          <t>UART (v3 s10.1 table)</t>
        </is>
      </c>
      <c r="B8" s="33" t="n">
        <v>268435456</v>
      </c>
      <c r="C8" s="59" t="n">
        <v>12</v>
      </c>
      <c r="D8" s="53" t="n">
        <v>12</v>
      </c>
      <c r="E8" s="33" t="n">
        <v>268435468</v>
      </c>
      <c r="F8" s="29" t="inlineStr">
        <is>
          <t>CONTROL</t>
        </is>
      </c>
      <c r="G8" s="60" t="inlineStr">
        <is>
          <t>R/W</t>
        </is>
      </c>
      <c r="H8" s="33" t="n"/>
      <c r="I8" s="35" t="n">
        <v>32</v>
      </c>
      <c r="J8" s="32" t="inlineStr">
        <is>
          <t>TX control. IMPLEMENTED OFFSET 0x0C is LCR.</t>
        </is>
      </c>
      <c r="K8" s="32" t="inlineStr">
        <is>
          <t>v3 s10.1 (SUPERSEDED)</t>
        </is>
      </c>
      <c r="L8" s="28" t="inlineStr">
        <is>
          <t>FROZEN</t>
        </is>
      </c>
    </row>
    <row r="9">
      <c r="A9" s="21" t="inlineStr">
        <is>
          <t>UART (v3 s10.1 table)</t>
        </is>
      </c>
      <c r="B9" s="22" t="n">
        <v>268435456</v>
      </c>
      <c r="C9" s="57" t="n">
        <v>16</v>
      </c>
      <c r="D9" s="49" t="n">
        <v>16</v>
      </c>
      <c r="E9" s="22" t="n">
        <v>268435472</v>
      </c>
      <c r="F9" s="19" t="inlineStr">
        <is>
          <t>BAUD_DIV</t>
        </is>
      </c>
      <c r="G9" s="58" t="inlineStr">
        <is>
          <t>R/W</t>
        </is>
      </c>
      <c r="H9" s="22" t="n"/>
      <c r="I9" s="24" t="n">
        <v>32</v>
      </c>
      <c r="J9" s="4" t="inlineStr">
        <is>
          <t>Baud-rate divisor. IMPLEMENTED: no register at 0x10; baud lives at 0x08.</t>
        </is>
      </c>
      <c r="K9" s="4" t="inlineStr">
        <is>
          <t>v3 s10.1 (SUPERSEDED)</t>
        </is>
      </c>
      <c r="L9" s="28" t="inlineStr">
        <is>
          <t>FROZEN</t>
        </is>
      </c>
    </row>
    <row r="10">
      <c r="A10" s="31" t="inlineStr">
        <is>
          <t>UART (v3 s10.1 table)</t>
        </is>
      </c>
      <c r="B10" s="33" t="n">
        <v>268435456</v>
      </c>
      <c r="C10" s="59" t="n">
        <v>20</v>
      </c>
      <c r="D10" s="53" t="n">
        <v>20</v>
      </c>
      <c r="E10" s="33" t="n">
        <v>268435476</v>
      </c>
      <c r="F10" s="29" t="inlineStr">
        <is>
          <t>(not in table)</t>
        </is>
      </c>
      <c r="G10" s="60" t="inlineStr">
        <is>
          <t>R</t>
        </is>
      </c>
      <c r="H10" s="33" t="n"/>
      <c r="I10" s="35" t="n">
        <v>32</v>
      </c>
      <c r="J10" s="32" t="inlineStr">
        <is>
          <t>IMPLEMENTED: LSR lives at 0x14. The v3 table has no 0x14 entry.</t>
        </is>
      </c>
      <c r="K10" s="32" t="inlineStr">
        <is>
          <t>v3 s10.1 (SUPERSEDED)</t>
        </is>
      </c>
      <c r="L10" s="28" t="inlineStr">
        <is>
          <t>FROZEN</t>
        </is>
      </c>
    </row>
    <row r="11">
      <c r="A11" s="61" t="n"/>
      <c r="B11" s="61" t="n"/>
      <c r="C11" s="61" t="n"/>
      <c r="D11" s="61" t="n"/>
      <c r="E11" s="61" t="n"/>
      <c r="F11" s="61" t="n"/>
      <c r="G11" s="61" t="n"/>
      <c r="H11" s="61" t="n"/>
      <c r="I11" s="61" t="n"/>
      <c r="J11" s="61" t="n"/>
      <c r="K11" s="61" t="n"/>
      <c r="L11" s="61" t="n"/>
    </row>
    <row r="12">
      <c r="A12" s="21" t="inlineStr">
        <is>
          <t>UART (IP-native, IMPLEMENTED)</t>
        </is>
      </c>
      <c r="B12" s="22" t="n">
        <v>268435456</v>
      </c>
      <c r="C12" s="57" t="n">
        <v>0</v>
      </c>
      <c r="D12" s="49" t="n">
        <v>0</v>
      </c>
      <c r="E12" s="22" t="n">
        <v>268435456</v>
      </c>
      <c r="F12" s="19" t="inlineStr">
        <is>
          <t>THR / RBR</t>
        </is>
      </c>
      <c r="G12" s="58" t="inlineStr">
        <is>
          <t>R/W</t>
        </is>
      </c>
      <c r="H12" s="22" t="n">
        <v>0</v>
      </c>
      <c r="I12" s="24" t="n">
        <v>32</v>
      </c>
      <c r="J12" s="4" t="inlineStr">
        <is>
          <t>Transmit holding register (write) / receive buffer (read). RX is tied off in soc_top - reads are not used.</t>
        </is>
      </c>
      <c r="K12" s="4" t="inlineStr">
        <is>
          <t>rtl/uart/uart_axi_slave.v:145-149; Phase3 s6.1</t>
        </is>
      </c>
      <c r="L12" s="40" t="inlineStr">
        <is>
          <t>VERIFIED</t>
        </is>
      </c>
    </row>
    <row r="13">
      <c r="A13" s="31" t="inlineStr">
        <is>
          <t>UART (IP-native, IMPLEMENTED)</t>
        </is>
      </c>
      <c r="B13" s="33" t="n">
        <v>268435456</v>
      </c>
      <c r="C13" s="59" t="n">
        <v>4</v>
      </c>
      <c r="D13" s="53" t="n">
        <v>4</v>
      </c>
      <c r="E13" s="33" t="n">
        <v>268435460</v>
      </c>
      <c r="F13" s="29" t="inlineStr">
        <is>
          <t>IER</t>
        </is>
      </c>
      <c r="G13" s="60" t="inlineStr">
        <is>
          <t>R/W</t>
        </is>
      </c>
      <c r="H13" s="33" t="n">
        <v>0</v>
      </c>
      <c r="I13" s="35" t="n">
        <v>32</v>
      </c>
      <c r="J13" s="32" t="inlineStr">
        <is>
          <t>Interrupt enable. Interrupts are not wired in the SoC; write 0.</t>
        </is>
      </c>
      <c r="K13" s="32" t="inlineStr">
        <is>
          <t>rtl/uart/uart_axi_slave.v:145-149; Phase3 s6.1</t>
        </is>
      </c>
      <c r="L13" s="40" t="inlineStr">
        <is>
          <t>VERIFIED</t>
        </is>
      </c>
    </row>
    <row r="14">
      <c r="A14" s="21" t="inlineStr">
        <is>
          <t>UART (IP-native, IMPLEMENTED)</t>
        </is>
      </c>
      <c r="B14" s="22" t="n">
        <v>268435456</v>
      </c>
      <c r="C14" s="57" t="n">
        <v>8</v>
      </c>
      <c r="D14" s="49" t="n">
        <v>8</v>
      </c>
      <c r="E14" s="22" t="n">
        <v>268435464</v>
      </c>
      <c r="F14" s="19" t="inlineStr">
        <is>
          <t>BAUD_DIVISOR</t>
        </is>
      </c>
      <c r="G14" s="58" t="inlineStr">
        <is>
          <t>R/W</t>
        </is>
      </c>
      <c r="H14" s="22" t="n">
        <v>869</v>
      </c>
      <c r="I14" s="24" t="n">
        <v>32</v>
      </c>
      <c r="J14" s="4" t="inlineStr">
        <is>
          <t>Baud divisor, only while LCR.DLAB=1. Reset default 868 -&gt; 869 clk bit period = 8690 ns at 100 MHz (~115 kbaud). Firmware does not program DLAB, so the reset default is what the E2E test observes.</t>
        </is>
      </c>
      <c r="K14" s="4" t="inlineStr">
        <is>
          <t>rtl/uart/uart_axi_slave.v:145-149; Phase3 s6.1</t>
        </is>
      </c>
      <c r="L14" s="40" t="inlineStr">
        <is>
          <t>VERIFIED</t>
        </is>
      </c>
    </row>
    <row r="15">
      <c r="A15" s="31" t="inlineStr">
        <is>
          <t>UART (IP-native, IMPLEMENTED)</t>
        </is>
      </c>
      <c r="B15" s="33" t="n">
        <v>268435456</v>
      </c>
      <c r="C15" s="59" t="n">
        <v>12</v>
      </c>
      <c r="D15" s="53" t="n">
        <v>12</v>
      </c>
      <c r="E15" s="33" t="n">
        <v>268435468</v>
      </c>
      <c r="F15" s="29" t="inlineStr">
        <is>
          <t>LCR</t>
        </is>
      </c>
      <c r="G15" s="60" t="inlineStr">
        <is>
          <t>R/W</t>
        </is>
      </c>
      <c r="H15" s="33" t="n">
        <v>0</v>
      </c>
      <c r="I15" s="35" t="n">
        <v>32</v>
      </c>
      <c r="J15" s="32" t="inlineStr">
        <is>
          <t>Line control: word length, parity, stop bits, DLAB.</t>
        </is>
      </c>
      <c r="K15" s="32" t="inlineStr">
        <is>
          <t>rtl/uart/uart_axi_slave.v:145-149; Phase3 s6.1</t>
        </is>
      </c>
      <c r="L15" s="40" t="inlineStr">
        <is>
          <t>VERIFIED</t>
        </is>
      </c>
    </row>
    <row r="16">
      <c r="A16" s="21" t="inlineStr">
        <is>
          <t>UART (IP-native, IMPLEMENTED)</t>
        </is>
      </c>
      <c r="B16" s="22" t="n">
        <v>268435456</v>
      </c>
      <c r="C16" s="57" t="n">
        <v>20</v>
      </c>
      <c r="D16" s="49" t="n">
        <v>20</v>
      </c>
      <c r="E16" s="22" t="n">
        <v>268435476</v>
      </c>
      <c r="F16" s="19" t="inlineStr">
        <is>
          <t>LSR</t>
        </is>
      </c>
      <c r="G16" s="58" t="inlineStr">
        <is>
          <t>R</t>
        </is>
      </c>
      <c r="H16" s="22" t="n"/>
      <c r="I16" s="24" t="n">
        <v>32</v>
      </c>
      <c r="J16" s="4" t="inlineStr">
        <is>
          <t>Line status: THRE, TEMT, OE and TX-status bits. Polled by firmware. Read-back across the bridge is proven by Phase-3 TB1 T13.</t>
        </is>
      </c>
      <c r="K16" s="4" t="inlineStr">
        <is>
          <t>rtl/uart/uart_axi_slave.v:145-149; Phase3 s6.1</t>
        </is>
      </c>
      <c r="L16" s="40" t="inlineStr">
        <is>
          <t>VERIFIED</t>
        </is>
      </c>
    </row>
    <row r="17">
      <c r="A17" s="61" t="n"/>
      <c r="B17" s="61" t="n"/>
      <c r="C17" s="61" t="n"/>
      <c r="D17" s="61" t="n"/>
      <c r="E17" s="61" t="n"/>
      <c r="F17" s="61" t="n"/>
      <c r="G17" s="61" t="n"/>
      <c r="H17" s="61" t="n"/>
      <c r="I17" s="61" t="n"/>
      <c r="J17" s="61" t="n"/>
      <c r="K17" s="61" t="n"/>
      <c r="L17" s="61" t="n"/>
    </row>
    <row r="18">
      <c r="A18" s="21" t="inlineStr">
        <is>
          <t>Timer</t>
        </is>
      </c>
      <c r="B18" s="22" t="n">
        <v>268443648</v>
      </c>
      <c r="C18" s="57" t="n">
        <v>0</v>
      </c>
      <c r="D18" s="49" t="n">
        <v>0</v>
      </c>
      <c r="E18" s="22" t="n">
        <v>268443648</v>
      </c>
      <c r="F18" s="19" t="inlineStr">
        <is>
          <t>COUNT</t>
        </is>
      </c>
      <c r="G18" s="58" t="inlineStr">
        <is>
          <t>R</t>
        </is>
      </c>
      <c r="H18" s="22" t="n"/>
      <c r="I18" s="24" t="n">
        <v>32</v>
      </c>
      <c r="J18" s="4" t="inlineStr">
        <is>
          <t>Free-running 32-bit counter. Increments while enabled.</t>
        </is>
      </c>
      <c r="K18" s="4" t="inlineStr">
        <is>
          <t>v3 s10.2</t>
        </is>
      </c>
      <c r="L18" s="28" t="inlineStr">
        <is>
          <t>FROZEN</t>
        </is>
      </c>
    </row>
    <row r="19">
      <c r="A19" s="31" t="inlineStr">
        <is>
          <t>Timer</t>
        </is>
      </c>
      <c r="B19" s="33" t="n">
        <v>268443648</v>
      </c>
      <c r="C19" s="59" t="n">
        <v>4</v>
      </c>
      <c r="D19" s="53" t="n">
        <v>4</v>
      </c>
      <c r="E19" s="33" t="n">
        <v>268443652</v>
      </c>
      <c r="F19" s="29" t="inlineStr">
        <is>
          <t>COMPARE</t>
        </is>
      </c>
      <c r="G19" s="60" t="inlineStr">
        <is>
          <t>R/W</t>
        </is>
      </c>
      <c r="H19" s="33" t="n"/>
      <c r="I19" s="35" t="n">
        <v>32</v>
      </c>
      <c r="J19" s="32" t="inlineStr">
        <is>
          <t>Match value. A compare event occurs when COUNT reaches the configured condition.</t>
        </is>
      </c>
      <c r="K19" s="32" t="inlineStr">
        <is>
          <t>v3 s10.2</t>
        </is>
      </c>
      <c r="L19" s="28" t="inlineStr">
        <is>
          <t>FROZEN</t>
        </is>
      </c>
    </row>
    <row r="20">
      <c r="A20" s="21" t="inlineStr">
        <is>
          <t>Timer</t>
        </is>
      </c>
      <c r="B20" s="22" t="n">
        <v>268443648</v>
      </c>
      <c r="C20" s="57" t="n">
        <v>8</v>
      </c>
      <c r="D20" s="49" t="n">
        <v>8</v>
      </c>
      <c r="E20" s="22" t="n">
        <v>268443656</v>
      </c>
      <c r="F20" s="19" t="inlineStr">
        <is>
          <t>CONTROL</t>
        </is>
      </c>
      <c r="G20" s="58" t="inlineStr">
        <is>
          <t>R/W</t>
        </is>
      </c>
      <c r="H20" s="22" t="n"/>
      <c r="I20" s="24" t="n">
        <v>32</v>
      </c>
      <c r="J20" s="4" t="inlineStr">
        <is>
          <t>ENABLE, IRQ_EN, AUTO_RELOAD. AUTO_RELOAD selects periodic operation.</t>
        </is>
      </c>
      <c r="K20" s="4" t="inlineStr">
        <is>
          <t>v3 s10.2</t>
        </is>
      </c>
      <c r="L20" s="28" t="inlineStr">
        <is>
          <t>FROZEN</t>
        </is>
      </c>
    </row>
    <row r="21">
      <c r="A21" s="31" t="inlineStr">
        <is>
          <t>Timer</t>
        </is>
      </c>
      <c r="B21" s="33" t="n">
        <v>268443648</v>
      </c>
      <c r="C21" s="59" t="n">
        <v>12</v>
      </c>
      <c r="D21" s="53" t="n">
        <v>12</v>
      </c>
      <c r="E21" s="33" t="n">
        <v>268443660</v>
      </c>
      <c r="F21" s="29" t="inlineStr">
        <is>
          <t>STATUS</t>
        </is>
      </c>
      <c r="G21" s="60" t="inlineStr">
        <is>
          <t>R/W1C</t>
        </is>
      </c>
      <c r="H21" s="33" t="n"/>
      <c r="I21" s="35" t="n">
        <v>32</v>
      </c>
      <c r="J21" s="32" t="inlineStr">
        <is>
          <t>MATCH status. Write 1 to clear. TIMER_IRQ is generated on the configured condition when IRQ_EN is set.</t>
        </is>
      </c>
      <c r="K21" s="32" t="inlineStr">
        <is>
          <t>v3 s10.2</t>
        </is>
      </c>
      <c r="L21" s="28" t="inlineStr">
        <is>
          <t>FROZEN</t>
        </is>
      </c>
    </row>
    <row r="22">
      <c r="A22" s="61" t="n"/>
      <c r="B22" s="61" t="n"/>
      <c r="C22" s="61" t="n"/>
      <c r="D22" s="61" t="n"/>
      <c r="E22" s="61" t="n"/>
      <c r="F22" s="61" t="n"/>
      <c r="G22" s="61" t="n"/>
      <c r="H22" s="61" t="n"/>
      <c r="I22" s="61" t="n"/>
      <c r="J22" s="61" t="n"/>
      <c r="K22" s="61" t="n"/>
      <c r="L22" s="61" t="n"/>
    </row>
    <row r="23">
      <c r="A23" s="21" t="inlineStr">
        <is>
          <t>GPIO</t>
        </is>
      </c>
      <c r="B23" s="22" t="n">
        <v>268451840</v>
      </c>
      <c r="C23" s="57" t="n">
        <v>0</v>
      </c>
      <c r="D23" s="49" t="n">
        <v>0</v>
      </c>
      <c r="E23" s="22" t="n">
        <v>268451840</v>
      </c>
      <c r="F23" s="19" t="inlineStr">
        <is>
          <t>OUT</t>
        </is>
      </c>
      <c r="G23" s="58" t="inlineStr">
        <is>
          <t>R/W</t>
        </is>
      </c>
      <c r="H23" s="22" t="n">
        <v>15</v>
      </c>
      <c r="I23" s="24" t="n">
        <v>32</v>
      </c>
      <c r="J23" s="4" t="inlineStr">
        <is>
          <t>GPIO output values. OUT[0]=CPU_ALIVE, OUT[1]=PKT_RX, OUT[2]=AES_BUSY, OUT[3]=PKT_ERR. All four externally exposed signals are outputs.</t>
        </is>
      </c>
      <c r="K23" s="4" t="inlineStr">
        <is>
          <t>v3 s10.3</t>
        </is>
      </c>
      <c r="L23" s="28" t="inlineStr">
        <is>
          <t>FROZEN</t>
        </is>
      </c>
    </row>
    <row r="24">
      <c r="A24" s="31" t="inlineStr">
        <is>
          <t>GPIO</t>
        </is>
      </c>
      <c r="B24" s="33" t="n">
        <v>268451840</v>
      </c>
      <c r="C24" s="59" t="n">
        <v>4</v>
      </c>
      <c r="D24" s="53" t="n">
        <v>4</v>
      </c>
      <c r="E24" s="33" t="n">
        <v>268451844</v>
      </c>
      <c r="F24" s="29" t="inlineStr">
        <is>
          <t>DIR</t>
        </is>
      </c>
      <c r="G24" s="60" t="inlineStr">
        <is>
          <t>R/W</t>
        </is>
      </c>
      <c r="H24" s="33" t="n">
        <v>15</v>
      </c>
      <c r="I24" s="35" t="n">
        <v>32</v>
      </c>
      <c r="J24" s="32" t="inlineStr">
        <is>
          <t>Direction control. Reset value assumed all-outputs; not specified in v3 - confirm.</t>
        </is>
      </c>
      <c r="K24" s="32" t="inlineStr">
        <is>
          <t>v3 s10.3</t>
        </is>
      </c>
      <c r="L24" s="28" t="inlineStr">
        <is>
          <t>FROZEN</t>
        </is>
      </c>
    </row>
    <row r="25">
      <c r="A25" s="61" t="n"/>
      <c r="B25" s="61" t="n"/>
      <c r="C25" s="61" t="n"/>
      <c r="D25" s="61" t="n"/>
      <c r="E25" s="61" t="n"/>
      <c r="F25" s="61" t="n"/>
      <c r="G25" s="61" t="n"/>
      <c r="H25" s="61" t="n"/>
      <c r="I25" s="61" t="n"/>
      <c r="J25" s="61" t="n"/>
      <c r="K25" s="61" t="n"/>
      <c r="L25" s="61" t="n"/>
    </row>
    <row r="26">
      <c r="A26" s="21" t="inlineStr">
        <is>
          <t>Network Telemetry Engine</t>
        </is>
      </c>
      <c r="B26" s="22" t="n">
        <v>268460032</v>
      </c>
      <c r="C26" s="57" t="n">
        <v>0</v>
      </c>
      <c r="D26" s="49" t="n">
        <v>0</v>
      </c>
      <c r="E26" s="22" t="n">
        <v>268460032</v>
      </c>
      <c r="F26" s="19" t="inlineStr">
        <is>
          <t>STATUS</t>
        </is>
      </c>
      <c r="G26" s="58" t="inlineStr">
        <is>
          <t>R</t>
        </is>
      </c>
      <c r="H26" s="22" t="n"/>
      <c r="I26" s="24" t="n">
        <v>32</v>
      </c>
      <c r="J26" s="4" t="inlineStr">
        <is>
          <t>Parser / snapshot / error state. Must represent at minimum PARSER_BUSY, PACKET_READY, CRC_FAIL, OVERFLOW, PACKET_ERROR. Reserved bits read zero. BIT ALLOCATION NOT YET FROZEN.</t>
        </is>
      </c>
      <c r="K26" s="4" t="inlineStr">
        <is>
          <t>v3 s10.4</t>
        </is>
      </c>
      <c r="L26" s="28" t="inlineStr">
        <is>
          <t>FROZEN</t>
        </is>
      </c>
    </row>
    <row r="27">
      <c r="A27" s="31" t="inlineStr">
        <is>
          <t>Network Telemetry Engine</t>
        </is>
      </c>
      <c r="B27" s="33" t="n">
        <v>268460032</v>
      </c>
      <c r="C27" s="59" t="n">
        <v>4</v>
      </c>
      <c r="D27" s="53" t="n">
        <v>4</v>
      </c>
      <c r="E27" s="33" t="n">
        <v>268460036</v>
      </c>
      <c r="F27" s="29" t="inlineStr">
        <is>
          <t>CONTROL</t>
        </is>
      </c>
      <c r="G27" s="60" t="inlineStr">
        <is>
          <t>R/W</t>
        </is>
      </c>
      <c r="H27" s="33" t="n"/>
      <c r="I27" s="35" t="n">
        <v>32</v>
      </c>
      <c r="J27" s="32" t="inlineStr">
        <is>
          <t>Enable and control.</t>
        </is>
      </c>
      <c r="K27" s="32" t="inlineStr">
        <is>
          <t>v3 s10.4</t>
        </is>
      </c>
      <c r="L27" s="28" t="inlineStr">
        <is>
          <t>FROZEN</t>
        </is>
      </c>
    </row>
    <row r="28">
      <c r="A28" s="21" t="inlineStr">
        <is>
          <t>Network Telemetry Engine</t>
        </is>
      </c>
      <c r="B28" s="22" t="n">
        <v>268460032</v>
      </c>
      <c r="C28" s="57" t="n">
        <v>8</v>
      </c>
      <c r="D28" s="49" t="n">
        <v>8</v>
      </c>
      <c r="E28" s="22" t="n">
        <v>268460040</v>
      </c>
      <c r="F28" s="19" t="inlineStr">
        <is>
          <t>PACKET_COUNT</t>
        </is>
      </c>
      <c r="G28" s="58" t="inlineStr">
        <is>
          <t>R</t>
        </is>
      </c>
      <c r="H28" s="22" t="n"/>
      <c r="I28" s="24" t="n">
        <v>32</v>
      </c>
      <c r="J28" s="4" t="inlineStr">
        <is>
          <t>Total packet count.</t>
        </is>
      </c>
      <c r="K28" s="4" t="inlineStr">
        <is>
          <t>v3 s10.4</t>
        </is>
      </c>
      <c r="L28" s="28" t="inlineStr">
        <is>
          <t>FROZEN</t>
        </is>
      </c>
    </row>
    <row r="29">
      <c r="A29" s="31" t="inlineStr">
        <is>
          <t>Network Telemetry Engine</t>
        </is>
      </c>
      <c r="B29" s="33" t="n">
        <v>268460032</v>
      </c>
      <c r="C29" s="59" t="n">
        <v>12</v>
      </c>
      <c r="D29" s="53" t="n">
        <v>12</v>
      </c>
      <c r="E29" s="33" t="n">
        <v>268460044</v>
      </c>
      <c r="F29" s="29" t="inlineStr">
        <is>
          <t>BYTE_COUNT</t>
        </is>
      </c>
      <c r="G29" s="60" t="inlineStr">
        <is>
          <t>R</t>
        </is>
      </c>
      <c r="H29" s="33" t="n"/>
      <c r="I29" s="35" t="n">
        <v>32</v>
      </c>
      <c r="J29" s="32" t="inlineStr">
        <is>
          <t>Total byte count.</t>
        </is>
      </c>
      <c r="K29" s="32" t="inlineStr">
        <is>
          <t>v3 s10.4</t>
        </is>
      </c>
      <c r="L29" s="28" t="inlineStr">
        <is>
          <t>FROZEN</t>
        </is>
      </c>
    </row>
    <row r="30">
      <c r="A30" s="21" t="inlineStr">
        <is>
          <t>Network Telemetry Engine</t>
        </is>
      </c>
      <c r="B30" s="22" t="n">
        <v>268460032</v>
      </c>
      <c r="C30" s="57" t="n">
        <v>16</v>
      </c>
      <c r="D30" s="49" t="n">
        <v>16</v>
      </c>
      <c r="E30" s="22" t="n">
        <v>268460048</v>
      </c>
      <c r="F30" s="19" t="inlineStr">
        <is>
          <t>ERROR_COUNT</t>
        </is>
      </c>
      <c r="G30" s="58" t="inlineStr">
        <is>
          <t>R</t>
        </is>
      </c>
      <c r="H30" s="22" t="n"/>
      <c r="I30" s="24" t="n">
        <v>32</v>
      </c>
      <c r="J30" s="4" t="inlineStr">
        <is>
          <t>Parser / structural error count.</t>
        </is>
      </c>
      <c r="K30" s="4" t="inlineStr">
        <is>
          <t>v3 s10.4</t>
        </is>
      </c>
      <c r="L30" s="28" t="inlineStr">
        <is>
          <t>FROZEN</t>
        </is>
      </c>
    </row>
    <row r="31">
      <c r="A31" s="31" t="inlineStr">
        <is>
          <t>Network Telemetry Engine</t>
        </is>
      </c>
      <c r="B31" s="33" t="n">
        <v>268460032</v>
      </c>
      <c r="C31" s="59" t="n">
        <v>20</v>
      </c>
      <c r="D31" s="53" t="n">
        <v>20</v>
      </c>
      <c r="E31" s="33" t="n">
        <v>268460052</v>
      </c>
      <c r="F31" s="29" t="inlineStr">
        <is>
          <t>UDP_COUNT</t>
        </is>
      </c>
      <c r="G31" s="60" t="inlineStr">
        <is>
          <t>R</t>
        </is>
      </c>
      <c r="H31" s="33" t="n"/>
      <c r="I31" s="35" t="n">
        <v>32</v>
      </c>
      <c r="J31" s="32" t="inlineStr">
        <is>
          <t>Reserved for the IPv4/UDP extension.</t>
        </is>
      </c>
      <c r="K31" s="32" t="inlineStr">
        <is>
          <t>v3 s10.4</t>
        </is>
      </c>
      <c r="L31" s="28" t="inlineStr">
        <is>
          <t>FROZEN</t>
        </is>
      </c>
    </row>
    <row r="32">
      <c r="A32" s="21" t="inlineStr">
        <is>
          <t>Network Telemetry Engine</t>
        </is>
      </c>
      <c r="B32" s="22" t="n">
        <v>268460032</v>
      </c>
      <c r="C32" s="57" t="n">
        <v>24</v>
      </c>
      <c r="D32" s="49" t="n">
        <v>24</v>
      </c>
      <c r="E32" s="22" t="n">
        <v>268460056</v>
      </c>
      <c r="F32" s="19" t="inlineStr">
        <is>
          <t>TCP_COUNT</t>
        </is>
      </c>
      <c r="G32" s="58" t="inlineStr">
        <is>
          <t>R</t>
        </is>
      </c>
      <c r="H32" s="22" t="n"/>
      <c r="I32" s="24" t="n">
        <v>32</v>
      </c>
      <c r="J32" s="4" t="inlineStr">
        <is>
          <t>Reserved for future protocol extension.</t>
        </is>
      </c>
      <c r="K32" s="4" t="inlineStr">
        <is>
          <t>v3 s10.4</t>
        </is>
      </c>
      <c r="L32" s="28" t="inlineStr">
        <is>
          <t>FROZEN</t>
        </is>
      </c>
    </row>
    <row r="33">
      <c r="A33" s="31" t="inlineStr">
        <is>
          <t>Network Telemetry Engine</t>
        </is>
      </c>
      <c r="B33" s="33" t="n">
        <v>268460032</v>
      </c>
      <c r="C33" s="59" t="n">
        <v>28</v>
      </c>
      <c r="D33" s="53" t="n">
        <v>28</v>
      </c>
      <c r="E33" s="33" t="n">
        <v>268460060</v>
      </c>
      <c r="F33" s="29" t="inlineStr">
        <is>
          <t>LAST_PACKET_LENGTH</t>
        </is>
      </c>
      <c r="G33" s="60" t="inlineStr">
        <is>
          <t>R</t>
        </is>
      </c>
      <c r="H33" s="33" t="n"/>
      <c r="I33" s="35" t="n">
        <v>32</v>
      </c>
      <c r="J33" s="32" t="inlineStr">
        <is>
          <t>Most recent accepted frame length.</t>
        </is>
      </c>
      <c r="K33" s="32" t="inlineStr">
        <is>
          <t>v3 s10.4</t>
        </is>
      </c>
      <c r="L33" s="28" t="inlineStr">
        <is>
          <t>FROZEN</t>
        </is>
      </c>
    </row>
    <row r="34">
      <c r="A34" s="21" t="inlineStr">
        <is>
          <t>Network Telemetry Engine</t>
        </is>
      </c>
      <c r="B34" s="22" t="n">
        <v>268460032</v>
      </c>
      <c r="C34" s="57" t="n">
        <v>32</v>
      </c>
      <c r="D34" s="49" t="n">
        <v>32</v>
      </c>
      <c r="E34" s="22" t="n">
        <v>268460064</v>
      </c>
      <c r="F34" s="19" t="inlineStr">
        <is>
          <t>LAST_SRC_IP</t>
        </is>
      </c>
      <c r="G34" s="58" t="inlineStr">
        <is>
          <t>R</t>
        </is>
      </c>
      <c r="H34" s="22" t="n"/>
      <c r="I34" s="24" t="n">
        <v>32</v>
      </c>
      <c r="J34" s="4" t="inlineStr">
        <is>
          <t>Source IPv4 address. Reads zero until IPv4 support exists.</t>
        </is>
      </c>
      <c r="K34" s="4" t="inlineStr">
        <is>
          <t>v3 s10.4</t>
        </is>
      </c>
      <c r="L34" s="28" t="inlineStr">
        <is>
          <t>FROZEN</t>
        </is>
      </c>
    </row>
    <row r="35">
      <c r="A35" s="31" t="inlineStr">
        <is>
          <t>Network Telemetry Engine</t>
        </is>
      </c>
      <c r="B35" s="33" t="n">
        <v>268460032</v>
      </c>
      <c r="C35" s="59" t="n">
        <v>36</v>
      </c>
      <c r="D35" s="53" t="n">
        <v>36</v>
      </c>
      <c r="E35" s="33" t="n">
        <v>268460068</v>
      </c>
      <c r="F35" s="29" t="inlineStr">
        <is>
          <t>LAST_DST_IP</t>
        </is>
      </c>
      <c r="G35" s="60" t="inlineStr">
        <is>
          <t>R</t>
        </is>
      </c>
      <c r="H35" s="33" t="n"/>
      <c r="I35" s="35" t="n">
        <v>32</v>
      </c>
      <c r="J35" s="32" t="inlineStr">
        <is>
          <t>Destination IPv4 address. Reads zero until IPv4 support exists.</t>
        </is>
      </c>
      <c r="K35" s="32" t="inlineStr">
        <is>
          <t>v3 s10.4</t>
        </is>
      </c>
      <c r="L35" s="28" t="inlineStr">
        <is>
          <t>FROZEN</t>
        </is>
      </c>
    </row>
    <row r="36">
      <c r="A36" s="21" t="inlineStr">
        <is>
          <t>Network Telemetry Engine</t>
        </is>
      </c>
      <c r="B36" s="22" t="n">
        <v>268460032</v>
      </c>
      <c r="C36" s="57" t="n">
        <v>40</v>
      </c>
      <c r="D36" s="49" t="n">
        <v>40</v>
      </c>
      <c r="E36" s="22" t="n">
        <v>268460072</v>
      </c>
      <c r="F36" s="19" t="inlineStr">
        <is>
          <t>LAST_SRC_PORT</t>
        </is>
      </c>
      <c r="G36" s="58" t="inlineStr">
        <is>
          <t>R</t>
        </is>
      </c>
      <c r="H36" s="22" t="n"/>
      <c r="I36" s="24" t="n">
        <v>32</v>
      </c>
      <c r="J36" s="4" t="inlineStr">
        <is>
          <t>Source UDP/TCP port. Reads zero until IPv4 support exists.</t>
        </is>
      </c>
      <c r="K36" s="4" t="inlineStr">
        <is>
          <t>v3 s10.4</t>
        </is>
      </c>
      <c r="L36" s="28" t="inlineStr">
        <is>
          <t>FROZEN</t>
        </is>
      </c>
    </row>
    <row r="37">
      <c r="A37" s="31" t="inlineStr">
        <is>
          <t>Network Telemetry Engine</t>
        </is>
      </c>
      <c r="B37" s="33" t="n">
        <v>268460032</v>
      </c>
      <c r="C37" s="59" t="n">
        <v>44</v>
      </c>
      <c r="D37" s="53" t="n">
        <v>44</v>
      </c>
      <c r="E37" s="33" t="n">
        <v>268460076</v>
      </c>
      <c r="F37" s="29" t="inlineStr">
        <is>
          <t>LAST_DST_PORT</t>
        </is>
      </c>
      <c r="G37" s="60" t="inlineStr">
        <is>
          <t>R</t>
        </is>
      </c>
      <c r="H37" s="33" t="n"/>
      <c r="I37" s="35" t="n">
        <v>32</v>
      </c>
      <c r="J37" s="32" t="inlineStr">
        <is>
          <t>Destination UDP/TCP port. Reads zero until IPv4 support exists.</t>
        </is>
      </c>
      <c r="K37" s="32" t="inlineStr">
        <is>
          <t>v3 s10.4</t>
        </is>
      </c>
      <c r="L37" s="28" t="inlineStr">
        <is>
          <t>FROZEN</t>
        </is>
      </c>
    </row>
    <row r="38">
      <c r="A38" s="21" t="inlineStr">
        <is>
          <t>Network Telemetry Engine</t>
        </is>
      </c>
      <c r="B38" s="22" t="n">
        <v>268460032</v>
      </c>
      <c r="C38" s="57" t="n">
        <v>48</v>
      </c>
      <c r="D38" s="49" t="n">
        <v>48</v>
      </c>
      <c r="E38" s="22" t="n">
        <v>268460080</v>
      </c>
      <c r="F38" s="19" t="inlineStr">
        <is>
          <t>LAST_PROTOCOL</t>
        </is>
      </c>
      <c r="G38" s="58" t="inlineStr">
        <is>
          <t>R</t>
        </is>
      </c>
      <c r="H38" s="22" t="n"/>
      <c r="I38" s="24" t="n">
        <v>32</v>
      </c>
      <c r="J38" s="4" t="inlineStr">
        <is>
          <t>Protocol classification.</t>
        </is>
      </c>
      <c r="K38" s="4" t="inlineStr">
        <is>
          <t>v3 s10.4</t>
        </is>
      </c>
      <c r="L38" s="28" t="inlineStr">
        <is>
          <t>FROZEN</t>
        </is>
      </c>
    </row>
    <row r="39">
      <c r="A39" s="31" t="inlineStr">
        <is>
          <t>Network Telemetry Engine</t>
        </is>
      </c>
      <c r="B39" s="33" t="n">
        <v>268460032</v>
      </c>
      <c r="C39" s="59" t="n">
        <v>52</v>
      </c>
      <c r="D39" s="53" t="n">
        <v>52</v>
      </c>
      <c r="E39" s="33" t="n">
        <v>268460084</v>
      </c>
      <c r="F39" s="29" t="inlineStr">
        <is>
          <t>LAST_PACKET_TIMESTAMP</t>
        </is>
      </c>
      <c r="G39" s="60" t="inlineStr">
        <is>
          <t>R</t>
        </is>
      </c>
      <c r="H39" s="33" t="n"/>
      <c r="I39" s="35" t="n">
        <v>32</v>
      </c>
      <c r="J39" s="32" t="inlineStr">
        <is>
          <t>Reserved hardware snapshot field. Today the timestamp is CPU-observed by reading Timer.COUNT inside the Network ISR.</t>
        </is>
      </c>
      <c r="K39" s="32" t="inlineStr">
        <is>
          <t>v3 s10.4</t>
        </is>
      </c>
      <c r="L39" s="28" t="inlineStr">
        <is>
          <t>FROZEN</t>
        </is>
      </c>
    </row>
    <row r="40">
      <c r="A40" s="21" t="inlineStr">
        <is>
          <t>Network Telemetry Engine</t>
        </is>
      </c>
      <c r="B40" s="22" t="n">
        <v>268460032</v>
      </c>
      <c r="C40" s="57" t="n">
        <v>56</v>
      </c>
      <c r="D40" s="49" t="n">
        <v>56</v>
      </c>
      <c r="E40" s="22" t="n">
        <v>268460088</v>
      </c>
      <c r="F40" s="19" t="inlineStr">
        <is>
          <t>IRQ_STATUS</t>
        </is>
      </c>
      <c r="G40" s="58" t="inlineStr">
        <is>
          <t>R/W1C</t>
        </is>
      </c>
      <c r="H40" s="22" t="n"/>
      <c r="I40" s="24" t="n">
        <v>32</v>
      </c>
      <c r="J40" s="4" t="inlineStr">
        <is>
          <t>PACKET_DONE plus error / overflow status. Write 1 to clear. Source of PIC ID 1.</t>
        </is>
      </c>
      <c r="K40" s="4" t="inlineStr">
        <is>
          <t>v3 s10.4</t>
        </is>
      </c>
      <c r="L40" s="28" t="inlineStr">
        <is>
          <t>FROZEN</t>
        </is>
      </c>
    </row>
    <row r="41">
      <c r="A41" s="31" t="inlineStr">
        <is>
          <t>Network Telemetry Engine</t>
        </is>
      </c>
      <c r="B41" s="33" t="n">
        <v>268460032</v>
      </c>
      <c r="C41" s="59" t="n">
        <v>60</v>
      </c>
      <c r="D41" s="53" t="n">
        <v>60</v>
      </c>
      <c r="E41" s="33" t="n">
        <v>268460092</v>
      </c>
      <c r="F41" s="29" t="inlineStr">
        <is>
          <t>IRQ_ENABLE</t>
        </is>
      </c>
      <c r="G41" s="60" t="inlineStr">
        <is>
          <t>R/W</t>
        </is>
      </c>
      <c r="H41" s="33" t="n"/>
      <c r="I41" s="35" t="n">
        <v>32</v>
      </c>
      <c r="J41" s="32" t="inlineStr">
        <is>
          <t>Network interrupt enable.</t>
        </is>
      </c>
      <c r="K41" s="32" t="inlineStr">
        <is>
          <t>v3 s10.4</t>
        </is>
      </c>
      <c r="L41" s="28" t="inlineStr">
        <is>
          <t>FROZEN</t>
        </is>
      </c>
    </row>
    <row r="42">
      <c r="A42" s="61" t="n"/>
      <c r="B42" s="61" t="n"/>
      <c r="C42" s="61" t="n"/>
      <c r="D42" s="61" t="n"/>
      <c r="E42" s="61" t="n"/>
      <c r="F42" s="61" t="n"/>
      <c r="G42" s="61" t="n"/>
      <c r="H42" s="61" t="n"/>
      <c r="I42" s="61" t="n"/>
      <c r="J42" s="61" t="n"/>
      <c r="K42" s="61" t="n"/>
      <c r="L42" s="61" t="n"/>
    </row>
    <row r="43">
      <c r="A43" s="21" t="inlineStr">
        <is>
          <t>AES-128</t>
        </is>
      </c>
      <c r="B43" s="22" t="n">
        <v>268468224</v>
      </c>
      <c r="C43" s="57" t="n">
        <v>0</v>
      </c>
      <c r="D43" s="49" t="n">
        <v>0</v>
      </c>
      <c r="E43" s="22" t="n">
        <v>268468224</v>
      </c>
      <c r="F43" s="19" t="inlineStr">
        <is>
          <t>CONTROL</t>
        </is>
      </c>
      <c r="G43" s="58" t="inlineStr">
        <is>
          <t>R/W</t>
        </is>
      </c>
      <c r="H43" s="22" t="n">
        <v>0</v>
      </c>
      <c r="I43" s="24" t="n">
        <v>32</v>
      </c>
      <c r="J43" s="4" t="inlineStr">
        <is>
          <t>Bit 0 = START (accepted only when STATUS.BUSY=0; asserts aes_ld). Bit 1 = CLEAR DONE / IRQ (clears done_reg and irq_reg).</t>
        </is>
      </c>
      <c r="K43" s="4" t="inlineStr">
        <is>
          <t>v3 s10.5 + rtl/aes/aes_axi_slave.v</t>
        </is>
      </c>
      <c r="L43" s="28" t="inlineStr">
        <is>
          <t>FROZEN</t>
        </is>
      </c>
    </row>
    <row r="44">
      <c r="A44" s="31" t="inlineStr">
        <is>
          <t>AES-128</t>
        </is>
      </c>
      <c r="B44" s="33" t="n">
        <v>268468224</v>
      </c>
      <c r="C44" s="59" t="n">
        <v>4</v>
      </c>
      <c r="D44" s="53" t="n">
        <v>4</v>
      </c>
      <c r="E44" s="33" t="n">
        <v>268468228</v>
      </c>
      <c r="F44" s="29" t="inlineStr">
        <is>
          <t>STATUS</t>
        </is>
      </c>
      <c r="G44" s="60" t="inlineStr">
        <is>
          <t>R</t>
        </is>
      </c>
      <c r="H44" s="33" t="n"/>
      <c r="I44" s="35" t="n">
        <v>32</v>
      </c>
      <c r="J44" s="32" t="inlineStr">
        <is>
          <t>Bit 0 = BUSY, Bit 1 = DONE. Lifecycle: IDLE(0,0) -&gt; START(1,0) -&gt; COMPLETE(0,1).</t>
        </is>
      </c>
      <c r="K44" s="32" t="inlineStr">
        <is>
          <t>v3 s10.5 + rtl/aes/aes_axi_slave.v</t>
        </is>
      </c>
      <c r="L44" s="28" t="inlineStr">
        <is>
          <t>FROZEN</t>
        </is>
      </c>
    </row>
    <row r="45">
      <c r="A45" s="21" t="inlineStr">
        <is>
          <t>AES-128</t>
        </is>
      </c>
      <c r="B45" s="22" t="n">
        <v>268468224</v>
      </c>
      <c r="C45" s="57" t="n">
        <v>8</v>
      </c>
      <c r="D45" s="49" t="n">
        <v>8</v>
      </c>
      <c r="E45" s="22" t="n">
        <v>268468232</v>
      </c>
      <c r="F45" s="19" t="inlineStr">
        <is>
          <t>KEY0</t>
        </is>
      </c>
      <c r="G45" s="58" t="inlineStr">
        <is>
          <t>R/W</t>
        </is>
      </c>
      <c r="H45" s="22" t="n">
        <v>0</v>
      </c>
      <c r="I45" s="24" t="n">
        <v>32</v>
      </c>
      <c r="J45" s="4" t="inlineStr">
        <is>
          <t>Key word 0. KEY0..KEY3 combine as {KEY3,KEY2,KEY1,KEY0} into the core's 128-bit aes_key.</t>
        </is>
      </c>
      <c r="K45" s="4" t="inlineStr">
        <is>
          <t>v3 s10.5 + rtl/aes/aes_axi_slave.v</t>
        </is>
      </c>
      <c r="L45" s="28" t="inlineStr">
        <is>
          <t>FROZEN</t>
        </is>
      </c>
    </row>
    <row r="46">
      <c r="A46" s="31" t="inlineStr">
        <is>
          <t>AES-128</t>
        </is>
      </c>
      <c r="B46" s="33" t="n">
        <v>268468224</v>
      </c>
      <c r="C46" s="59" t="n">
        <v>12</v>
      </c>
      <c r="D46" s="53" t="n">
        <v>12</v>
      </c>
      <c r="E46" s="33" t="n">
        <v>268468236</v>
      </c>
      <c r="F46" s="29" t="inlineStr">
        <is>
          <t>KEY1</t>
        </is>
      </c>
      <c r="G46" s="60" t="inlineStr">
        <is>
          <t>R/W</t>
        </is>
      </c>
      <c r="H46" s="33" t="n">
        <v>0</v>
      </c>
      <c r="I46" s="35" t="n">
        <v>32</v>
      </c>
      <c r="J46" s="32" t="inlineStr">
        <is>
          <t>Key word 1.</t>
        </is>
      </c>
      <c r="K46" s="32" t="inlineStr">
        <is>
          <t>v3 s10.5 + rtl/aes/aes_axi_slave.v</t>
        </is>
      </c>
      <c r="L46" s="28" t="inlineStr">
        <is>
          <t>FROZEN</t>
        </is>
      </c>
    </row>
    <row r="47">
      <c r="A47" s="21" t="inlineStr">
        <is>
          <t>AES-128</t>
        </is>
      </c>
      <c r="B47" s="22" t="n">
        <v>268468224</v>
      </c>
      <c r="C47" s="57" t="n">
        <v>16</v>
      </c>
      <c r="D47" s="49" t="n">
        <v>16</v>
      </c>
      <c r="E47" s="22" t="n">
        <v>268468240</v>
      </c>
      <c r="F47" s="19" t="inlineStr">
        <is>
          <t>KEY2</t>
        </is>
      </c>
      <c r="G47" s="58" t="inlineStr">
        <is>
          <t>R/W</t>
        </is>
      </c>
      <c r="H47" s="22" t="n">
        <v>0</v>
      </c>
      <c r="I47" s="24" t="n">
        <v>32</v>
      </c>
      <c r="J47" s="4" t="inlineStr">
        <is>
          <t>Key word 2.</t>
        </is>
      </c>
      <c r="K47" s="4" t="inlineStr">
        <is>
          <t>v3 s10.5 + rtl/aes/aes_axi_slave.v</t>
        </is>
      </c>
      <c r="L47" s="28" t="inlineStr">
        <is>
          <t>FROZEN</t>
        </is>
      </c>
    </row>
    <row r="48">
      <c r="A48" s="31" t="inlineStr">
        <is>
          <t>AES-128</t>
        </is>
      </c>
      <c r="B48" s="33" t="n">
        <v>268468224</v>
      </c>
      <c r="C48" s="59" t="n">
        <v>20</v>
      </c>
      <c r="D48" s="53" t="n">
        <v>20</v>
      </c>
      <c r="E48" s="33" t="n">
        <v>268468244</v>
      </c>
      <c r="F48" s="29" t="inlineStr">
        <is>
          <t>KEY3</t>
        </is>
      </c>
      <c r="G48" s="60" t="inlineStr">
        <is>
          <t>R/W</t>
        </is>
      </c>
      <c r="H48" s="33" t="n">
        <v>0</v>
      </c>
      <c r="I48" s="35" t="n">
        <v>32</v>
      </c>
      <c r="J48" s="32" t="inlineStr">
        <is>
          <t>Key word 3.</t>
        </is>
      </c>
      <c r="K48" s="32" t="inlineStr">
        <is>
          <t>v3 s10.5 + rtl/aes/aes_axi_slave.v</t>
        </is>
      </c>
      <c r="L48" s="28" t="inlineStr">
        <is>
          <t>FROZEN</t>
        </is>
      </c>
    </row>
    <row r="49">
      <c r="A49" s="21" t="inlineStr">
        <is>
          <t>AES-128</t>
        </is>
      </c>
      <c r="B49" s="22" t="n">
        <v>268468224</v>
      </c>
      <c r="C49" s="57" t="n">
        <v>24</v>
      </c>
      <c r="D49" s="49" t="n">
        <v>24</v>
      </c>
      <c r="E49" s="22" t="n">
        <v>268468248</v>
      </c>
      <c r="F49" s="19" t="inlineStr">
        <is>
          <t>DATA0</t>
        </is>
      </c>
      <c r="G49" s="58" t="inlineStr">
        <is>
          <t>R/W</t>
        </is>
      </c>
      <c r="H49" s="22" t="n">
        <v>0</v>
      </c>
      <c r="I49" s="24" t="n">
        <v>32</v>
      </c>
      <c r="J49" s="4" t="inlineStr">
        <is>
          <t>Plaintext word 0. DATA0..DATA3 combine as {DATA3,DATA2,DATA1,DATA0} into aes_text_in.</t>
        </is>
      </c>
      <c r="K49" s="4" t="inlineStr">
        <is>
          <t>v3 s10.5 + rtl/aes/aes_axi_slave.v</t>
        </is>
      </c>
      <c r="L49" s="28" t="inlineStr">
        <is>
          <t>FROZEN</t>
        </is>
      </c>
    </row>
    <row r="50">
      <c r="A50" s="31" t="inlineStr">
        <is>
          <t>AES-128</t>
        </is>
      </c>
      <c r="B50" s="33" t="n">
        <v>268468224</v>
      </c>
      <c r="C50" s="59" t="n">
        <v>28</v>
      </c>
      <c r="D50" s="53" t="n">
        <v>28</v>
      </c>
      <c r="E50" s="33" t="n">
        <v>268468252</v>
      </c>
      <c r="F50" s="29" t="inlineStr">
        <is>
          <t>DATA1</t>
        </is>
      </c>
      <c r="G50" s="60" t="inlineStr">
        <is>
          <t>R/W</t>
        </is>
      </c>
      <c r="H50" s="33" t="n">
        <v>0</v>
      </c>
      <c r="I50" s="35" t="n">
        <v>32</v>
      </c>
      <c r="J50" s="32" t="inlineStr">
        <is>
          <t>Plaintext word 1.</t>
        </is>
      </c>
      <c r="K50" s="32" t="inlineStr">
        <is>
          <t>v3 s10.5 + rtl/aes/aes_axi_slave.v</t>
        </is>
      </c>
      <c r="L50" s="28" t="inlineStr">
        <is>
          <t>FROZEN</t>
        </is>
      </c>
    </row>
    <row r="51">
      <c r="A51" s="21" t="inlineStr">
        <is>
          <t>AES-128</t>
        </is>
      </c>
      <c r="B51" s="22" t="n">
        <v>268468224</v>
      </c>
      <c r="C51" s="57" t="n">
        <v>32</v>
      </c>
      <c r="D51" s="49" t="n">
        <v>32</v>
      </c>
      <c r="E51" s="22" t="n">
        <v>268468256</v>
      </c>
      <c r="F51" s="19" t="inlineStr">
        <is>
          <t>DATA2</t>
        </is>
      </c>
      <c r="G51" s="58" t="inlineStr">
        <is>
          <t>R/W</t>
        </is>
      </c>
      <c r="H51" s="22" t="n">
        <v>0</v>
      </c>
      <c r="I51" s="24" t="n">
        <v>32</v>
      </c>
      <c r="J51" s="4" t="inlineStr">
        <is>
          <t>Plaintext word 2.</t>
        </is>
      </c>
      <c r="K51" s="4" t="inlineStr">
        <is>
          <t>v3 s10.5 + rtl/aes/aes_axi_slave.v</t>
        </is>
      </c>
      <c r="L51" s="28" t="inlineStr">
        <is>
          <t>FROZEN</t>
        </is>
      </c>
    </row>
    <row r="52">
      <c r="A52" s="31" t="inlineStr">
        <is>
          <t>AES-128</t>
        </is>
      </c>
      <c r="B52" s="33" t="n">
        <v>268468224</v>
      </c>
      <c r="C52" s="59" t="n">
        <v>36</v>
      </c>
      <c r="D52" s="53" t="n">
        <v>36</v>
      </c>
      <c r="E52" s="33" t="n">
        <v>268468260</v>
      </c>
      <c r="F52" s="29" t="inlineStr">
        <is>
          <t>DATA3</t>
        </is>
      </c>
      <c r="G52" s="60" t="inlineStr">
        <is>
          <t>R/W</t>
        </is>
      </c>
      <c r="H52" s="33" t="n">
        <v>0</v>
      </c>
      <c r="I52" s="35" t="n">
        <v>32</v>
      </c>
      <c r="J52" s="32" t="inlineStr">
        <is>
          <t>Plaintext word 3.</t>
        </is>
      </c>
      <c r="K52" s="32" t="inlineStr">
        <is>
          <t>v3 s10.5 + rtl/aes/aes_axi_slave.v</t>
        </is>
      </c>
      <c r="L52" s="28" t="inlineStr">
        <is>
          <t>FROZEN</t>
        </is>
      </c>
    </row>
    <row r="53">
      <c r="A53" s="21" t="inlineStr">
        <is>
          <t>AES-128</t>
        </is>
      </c>
      <c r="B53" s="22" t="n">
        <v>268468224</v>
      </c>
      <c r="C53" s="57" t="n">
        <v>40</v>
      </c>
      <c r="D53" s="49" t="n">
        <v>40</v>
      </c>
      <c r="E53" s="22" t="n">
        <v>268468264</v>
      </c>
      <c r="F53" s="19" t="inlineStr">
        <is>
          <t>RESULT0</t>
        </is>
      </c>
      <c r="G53" s="58" t="inlineStr">
        <is>
          <t>R</t>
        </is>
      </c>
      <c r="H53" s="22" t="n"/>
      <c r="I53" s="24" t="n">
        <v>32</v>
      </c>
      <c r="J53" s="4" t="inlineStr">
        <is>
          <t>Ciphertext word 0 (low word). Write ignored. Unmapped offsets read 0x00000000.</t>
        </is>
      </c>
      <c r="K53" s="4" t="inlineStr">
        <is>
          <t>v3 s10.5 + rtl/aes/aes_axi_slave.v</t>
        </is>
      </c>
      <c r="L53" s="28" t="inlineStr">
        <is>
          <t>FROZEN</t>
        </is>
      </c>
    </row>
    <row r="54">
      <c r="A54" s="31" t="inlineStr">
        <is>
          <t>AES-128</t>
        </is>
      </c>
      <c r="B54" s="33" t="n">
        <v>268468224</v>
      </c>
      <c r="C54" s="59" t="n">
        <v>44</v>
      </c>
      <c r="D54" s="53" t="n">
        <v>44</v>
      </c>
      <c r="E54" s="33" t="n">
        <v>268468268</v>
      </c>
      <c r="F54" s="29" t="inlineStr">
        <is>
          <t>RESULT1</t>
        </is>
      </c>
      <c r="G54" s="60" t="inlineStr">
        <is>
          <t>R</t>
        </is>
      </c>
      <c r="H54" s="33" t="n"/>
      <c r="I54" s="35" t="n">
        <v>32</v>
      </c>
      <c r="J54" s="32" t="inlineStr">
        <is>
          <t>Ciphertext word 1.</t>
        </is>
      </c>
      <c r="K54" s="32" t="inlineStr">
        <is>
          <t>v3 s10.5 + rtl/aes/aes_axi_slave.v</t>
        </is>
      </c>
      <c r="L54" s="28" t="inlineStr">
        <is>
          <t>FROZEN</t>
        </is>
      </c>
    </row>
    <row r="55">
      <c r="A55" s="21" t="inlineStr">
        <is>
          <t>AES-128</t>
        </is>
      </c>
      <c r="B55" s="22" t="n">
        <v>268468224</v>
      </c>
      <c r="C55" s="57" t="n">
        <v>48</v>
      </c>
      <c r="D55" s="49" t="n">
        <v>48</v>
      </c>
      <c r="E55" s="22" t="n">
        <v>268468272</v>
      </c>
      <c r="F55" s="19" t="inlineStr">
        <is>
          <t>RESULT2</t>
        </is>
      </c>
      <c r="G55" s="58" t="inlineStr">
        <is>
          <t>R</t>
        </is>
      </c>
      <c r="H55" s="22" t="n"/>
      <c r="I55" s="24" t="n">
        <v>32</v>
      </c>
      <c r="J55" s="4" t="inlineStr">
        <is>
          <t>Ciphertext word 2.</t>
        </is>
      </c>
      <c r="K55" s="4" t="inlineStr">
        <is>
          <t>v3 s10.5 + rtl/aes/aes_axi_slave.v</t>
        </is>
      </c>
      <c r="L55" s="28" t="inlineStr">
        <is>
          <t>FROZEN</t>
        </is>
      </c>
    </row>
    <row r="56">
      <c r="A56" s="31" t="inlineStr">
        <is>
          <t>AES-128</t>
        </is>
      </c>
      <c r="B56" s="33" t="n">
        <v>268468224</v>
      </c>
      <c r="C56" s="59" t="n">
        <v>52</v>
      </c>
      <c r="D56" s="53" t="n">
        <v>52</v>
      </c>
      <c r="E56" s="33" t="n">
        <v>268468276</v>
      </c>
      <c r="F56" s="29" t="inlineStr">
        <is>
          <t>RESULT3</t>
        </is>
      </c>
      <c r="G56" s="60" t="inlineStr">
        <is>
          <t>R</t>
        </is>
      </c>
      <c r="H56" s="33" t="n"/>
      <c r="I56" s="35" t="n">
        <v>32</v>
      </c>
      <c r="J56" s="32" t="inlineStr">
        <is>
          <t>Ciphertext word 3 (high word).</t>
        </is>
      </c>
      <c r="K56" s="32" t="inlineStr">
        <is>
          <t>v3 s10.5 + rtl/aes/aes_axi_slave.v</t>
        </is>
      </c>
      <c r="L56" s="28" t="inlineStr">
        <is>
          <t>FROZEN</t>
        </is>
      </c>
    </row>
    <row r="57">
      <c r="A57" s="61" t="n"/>
      <c r="B57" s="61" t="n"/>
      <c r="C57" s="61" t="n"/>
      <c r="D57" s="61" t="n"/>
      <c r="E57" s="61" t="n"/>
      <c r="F57" s="61" t="n"/>
      <c r="G57" s="61" t="n"/>
      <c r="H57" s="61" t="n"/>
      <c r="I57" s="61" t="n"/>
      <c r="J57" s="61" t="n"/>
      <c r="K57" s="61" t="n"/>
      <c r="L57" s="61" t="n"/>
    </row>
    <row r="58">
      <c r="A58" s="21" t="inlineStr">
        <is>
          <t>CRC-32 / FCS</t>
        </is>
      </c>
      <c r="B58" s="22" t="n">
        <v>268476416</v>
      </c>
      <c r="C58" s="57" t="n">
        <v>0</v>
      </c>
      <c r="D58" s="49" t="n">
        <v>0</v>
      </c>
      <c r="E58" s="22" t="n">
        <v>268476416</v>
      </c>
      <c r="F58" s="19" t="inlineStr">
        <is>
          <t>CONTROL</t>
        </is>
      </c>
      <c r="G58" s="58" t="inlineStr">
        <is>
          <t>R/W</t>
        </is>
      </c>
      <c r="H58" s="22" t="n"/>
      <c r="I58" s="24" t="n">
        <v>32</v>
      </c>
      <c r="J58" s="4" t="inlineStr">
        <is>
          <t>CRC control / reset.</t>
        </is>
      </c>
      <c r="K58" s="4" t="inlineStr">
        <is>
          <t>v3 s10.6</t>
        </is>
      </c>
      <c r="L58" s="28" t="inlineStr">
        <is>
          <t>FROZEN</t>
        </is>
      </c>
    </row>
    <row r="59">
      <c r="A59" s="31" t="inlineStr">
        <is>
          <t>CRC-32 / FCS</t>
        </is>
      </c>
      <c r="B59" s="33" t="n">
        <v>268476416</v>
      </c>
      <c r="C59" s="59" t="n">
        <v>4</v>
      </c>
      <c r="D59" s="53" t="n">
        <v>4</v>
      </c>
      <c r="E59" s="33" t="n">
        <v>268476420</v>
      </c>
      <c r="F59" s="29" t="inlineStr">
        <is>
          <t>STATUS</t>
        </is>
      </c>
      <c r="G59" s="60" t="inlineStr">
        <is>
          <t>R</t>
        </is>
      </c>
      <c r="H59" s="33" t="n"/>
      <c r="I59" s="35" t="n">
        <v>32</v>
      </c>
      <c r="J59" s="32" t="inlineStr">
        <is>
          <t>Valid / pass / fail. Must give an unambiguous software-visible distinction between CRC result value, FCS valid, FCS pass and FCS fail. BIT ALLOCATION NOT YET FROZEN.</t>
        </is>
      </c>
      <c r="K59" s="32" t="inlineStr">
        <is>
          <t>v3 s10.6</t>
        </is>
      </c>
      <c r="L59" s="28" t="inlineStr">
        <is>
          <t>FROZEN</t>
        </is>
      </c>
    </row>
    <row r="60">
      <c r="A60" s="21" t="inlineStr">
        <is>
          <t>CRC-32 / FCS</t>
        </is>
      </c>
      <c r="B60" s="22" t="n">
        <v>268476416</v>
      </c>
      <c r="C60" s="57" t="n">
        <v>8</v>
      </c>
      <c r="D60" s="49" t="n">
        <v>8</v>
      </c>
      <c r="E60" s="22" t="n">
        <v>268476424</v>
      </c>
      <c r="F60" s="19" t="inlineStr">
        <is>
          <t>DATA</t>
        </is>
      </c>
      <c r="G60" s="58" t="inlineStr">
        <is>
          <t>W</t>
        </is>
      </c>
      <c r="H60" s="22" t="n"/>
      <c r="I60" s="24" t="n">
        <v>32</v>
      </c>
      <c r="J60" s="4" t="inlineStr">
        <is>
          <t>Software / testbench byte-injection path. The normal packet path feeds bytes to the CRC engine directly; this register is for init, diagnostics and block-level verification.</t>
        </is>
      </c>
      <c r="K60" s="4" t="inlineStr">
        <is>
          <t>v3 s10.6</t>
        </is>
      </c>
      <c r="L60" s="28" t="inlineStr">
        <is>
          <t>FROZEN</t>
        </is>
      </c>
    </row>
    <row r="61">
      <c r="A61" s="31" t="inlineStr">
        <is>
          <t>CRC-32 / FCS</t>
        </is>
      </c>
      <c r="B61" s="33" t="n">
        <v>268476416</v>
      </c>
      <c r="C61" s="59" t="n">
        <v>12</v>
      </c>
      <c r="D61" s="53" t="n">
        <v>12</v>
      </c>
      <c r="E61" s="33" t="n">
        <v>268476428</v>
      </c>
      <c r="F61" s="29" t="inlineStr">
        <is>
          <t>RESULT</t>
        </is>
      </c>
      <c r="G61" s="60" t="inlineStr">
        <is>
          <t>R</t>
        </is>
      </c>
      <c r="H61" s="33" t="n"/>
      <c r="I61" s="35" t="n">
        <v>32</v>
      </c>
      <c r="J61" s="32" t="inlineStr">
        <is>
          <t>CRC value and FCS status.</t>
        </is>
      </c>
      <c r="K61" s="32" t="inlineStr">
        <is>
          <t>v3 s10.6</t>
        </is>
      </c>
      <c r="L61" s="28" t="inlineStr">
        <is>
          <t>FROZEN</t>
        </is>
      </c>
    </row>
    <row r="62">
      <c r="A62" s="61" t="n"/>
      <c r="B62" s="61" t="n"/>
      <c r="C62" s="61" t="n"/>
      <c r="D62" s="61" t="n"/>
      <c r="E62" s="61" t="n"/>
      <c r="F62" s="61" t="n"/>
      <c r="G62" s="61" t="n"/>
      <c r="H62" s="61" t="n"/>
      <c r="I62" s="61" t="n"/>
      <c r="J62" s="61" t="n"/>
      <c r="K62" s="61" t="n"/>
      <c r="L62" s="61" t="n"/>
    </row>
    <row r="63">
      <c r="A63" s="21" t="inlineStr">
        <is>
          <t>Ethernet MAC  (DRAFT)</t>
        </is>
      </c>
      <c r="B63" s="22" t="n">
        <v>268484608</v>
      </c>
      <c r="C63" s="57" t="n">
        <v>0</v>
      </c>
      <c r="D63" s="49" t="n">
        <v>0</v>
      </c>
      <c r="E63" s="22" t="n">
        <v>268484608</v>
      </c>
      <c r="F63" s="19" t="inlineStr">
        <is>
          <t>CONTROL</t>
        </is>
      </c>
      <c r="G63" s="58" t="inlineStr">
        <is>
          <t>R/W</t>
        </is>
      </c>
      <c r="H63" s="22" t="n"/>
      <c r="I63" s="24" t="n">
        <v>32</v>
      </c>
      <c r="J63" s="4" t="inlineStr">
        <is>
          <t>Proposed: RX_EN, TX_EN, LOOPBACK.</t>
        </is>
      </c>
      <c r="K63" s="4" t="inlineStr">
        <is>
          <t>DRAFT - this workbook (plan s7.2)</t>
        </is>
      </c>
      <c r="L63" s="42" t="inlineStr">
        <is>
          <t>DRAFT</t>
        </is>
      </c>
    </row>
    <row r="64">
      <c r="A64" s="31" t="inlineStr">
        <is>
          <t>Ethernet MAC  (DRAFT)</t>
        </is>
      </c>
      <c r="B64" s="33" t="n">
        <v>268484608</v>
      </c>
      <c r="C64" s="59" t="n">
        <v>4</v>
      </c>
      <c r="D64" s="53" t="n">
        <v>4</v>
      </c>
      <c r="E64" s="33" t="n">
        <v>268484612</v>
      </c>
      <c r="F64" s="29" t="inlineStr">
        <is>
          <t>STATUS</t>
        </is>
      </c>
      <c r="G64" s="60" t="inlineStr">
        <is>
          <t>R</t>
        </is>
      </c>
      <c r="H64" s="33" t="n"/>
      <c r="I64" s="35" t="n">
        <v>32</v>
      </c>
      <c r="J64" s="32" t="inlineStr">
        <is>
          <t>Proposed: RX_BUSY, TX_BUSY, LINK_UP.</t>
        </is>
      </c>
      <c r="K64" s="32" t="inlineStr">
        <is>
          <t>DRAFT - this workbook (plan s7.2)</t>
        </is>
      </c>
      <c r="L64" s="42" t="inlineStr">
        <is>
          <t>DRAFT</t>
        </is>
      </c>
    </row>
    <row r="65">
      <c r="A65" s="21" t="inlineStr">
        <is>
          <t>Ethernet MAC  (DRAFT)</t>
        </is>
      </c>
      <c r="B65" s="22" t="n">
        <v>268484608</v>
      </c>
      <c r="C65" s="57" t="n">
        <v>8</v>
      </c>
      <c r="D65" s="49" t="n">
        <v>8</v>
      </c>
      <c r="E65" s="22" t="n">
        <v>268484616</v>
      </c>
      <c r="F65" s="19" t="inlineStr">
        <is>
          <t>MAC_ADDR_LOW</t>
        </is>
      </c>
      <c r="G65" s="58" t="inlineStr">
        <is>
          <t>R/W</t>
        </is>
      </c>
      <c r="H65" s="22" t="n"/>
      <c r="I65" s="24" t="n">
        <v>32</v>
      </c>
      <c r="J65" s="4" t="inlineStr">
        <is>
          <t>Proposed: MAC address bits [31:0].</t>
        </is>
      </c>
      <c r="K65" s="4" t="inlineStr">
        <is>
          <t>DRAFT - this workbook (plan s7.2)</t>
        </is>
      </c>
      <c r="L65" s="42" t="inlineStr">
        <is>
          <t>DRAFT</t>
        </is>
      </c>
    </row>
    <row r="66">
      <c r="A66" s="31" t="inlineStr">
        <is>
          <t>Ethernet MAC  (DRAFT)</t>
        </is>
      </c>
      <c r="B66" s="33" t="n">
        <v>268484608</v>
      </c>
      <c r="C66" s="59" t="n">
        <v>12</v>
      </c>
      <c r="D66" s="53" t="n">
        <v>12</v>
      </c>
      <c r="E66" s="33" t="n">
        <v>268484620</v>
      </c>
      <c r="F66" s="29" t="inlineStr">
        <is>
          <t>MAC_ADDR_HIGH</t>
        </is>
      </c>
      <c r="G66" s="60" t="inlineStr">
        <is>
          <t>R/W</t>
        </is>
      </c>
      <c r="H66" s="33" t="n"/>
      <c r="I66" s="35" t="n">
        <v>32</v>
      </c>
      <c r="J66" s="32" t="inlineStr">
        <is>
          <t>Proposed: MAC address bits [63:32].</t>
        </is>
      </c>
      <c r="K66" s="32" t="inlineStr">
        <is>
          <t>DRAFT - this workbook (plan s7.2)</t>
        </is>
      </c>
      <c r="L66" s="42" t="inlineStr">
        <is>
          <t>DRAFT</t>
        </is>
      </c>
    </row>
    <row r="67">
      <c r="A67" s="21" t="inlineStr">
        <is>
          <t>Ethernet MAC  (DRAFT)</t>
        </is>
      </c>
      <c r="B67" s="22" t="n">
        <v>268484608</v>
      </c>
      <c r="C67" s="57" t="n">
        <v>16</v>
      </c>
      <c r="D67" s="49" t="n">
        <v>16</v>
      </c>
      <c r="E67" s="22" t="n">
        <v>268484624</v>
      </c>
      <c r="F67" s="19" t="inlineStr">
        <is>
          <t>RX_FRAME_LEN</t>
        </is>
      </c>
      <c r="G67" s="58" t="inlineStr">
        <is>
          <t>R</t>
        </is>
      </c>
      <c r="H67" s="22" t="n"/>
      <c r="I67" s="24" t="n">
        <v>32</v>
      </c>
      <c r="J67" s="4" t="inlineStr">
        <is>
          <t>Proposed: length of the last received frame.</t>
        </is>
      </c>
      <c r="K67" s="4" t="inlineStr">
        <is>
          <t>DRAFT - this workbook (plan s7.2)</t>
        </is>
      </c>
      <c r="L67" s="42" t="inlineStr">
        <is>
          <t>DRAFT</t>
        </is>
      </c>
    </row>
    <row r="68">
      <c r="A68" s="31" t="inlineStr">
        <is>
          <t>Ethernet MAC  (DRAFT)</t>
        </is>
      </c>
      <c r="B68" s="33" t="n">
        <v>268484608</v>
      </c>
      <c r="C68" s="59" t="n">
        <v>20</v>
      </c>
      <c r="D68" s="53" t="n">
        <v>20</v>
      </c>
      <c r="E68" s="33" t="n">
        <v>268484628</v>
      </c>
      <c r="F68" s="29" t="inlineStr">
        <is>
          <t>RX_DROP_COUNT</t>
        </is>
      </c>
      <c r="G68" s="60" t="inlineStr">
        <is>
          <t>R</t>
        </is>
      </c>
      <c r="H68" s="33" t="n"/>
      <c r="I68" s="35" t="n">
        <v>32</v>
      </c>
      <c r="J68" s="32" t="inlineStr">
        <is>
          <t>Proposed: frames dropped (buffer full / error).</t>
        </is>
      </c>
      <c r="K68" s="32" t="inlineStr">
        <is>
          <t>DRAFT - this workbook (plan s7.2)</t>
        </is>
      </c>
      <c r="L68" s="42" t="inlineStr">
        <is>
          <t>DRAFT</t>
        </is>
      </c>
    </row>
    <row r="69">
      <c r="A69" s="21" t="inlineStr">
        <is>
          <t>Ethernet MAC  (DRAFT)</t>
        </is>
      </c>
      <c r="B69" s="22" t="n">
        <v>268484608</v>
      </c>
      <c r="C69" s="57" t="n">
        <v>24</v>
      </c>
      <c r="D69" s="49" t="n">
        <v>24</v>
      </c>
      <c r="E69" s="22" t="n">
        <v>268484632</v>
      </c>
      <c r="F69" s="19" t="inlineStr">
        <is>
          <t>TX_FRAME_LEN</t>
        </is>
      </c>
      <c r="G69" s="58" t="inlineStr">
        <is>
          <t>R/W</t>
        </is>
      </c>
      <c r="H69" s="22" t="n"/>
      <c r="I69" s="24" t="n">
        <v>32</v>
      </c>
      <c r="J69" s="4" t="inlineStr">
        <is>
          <t>Proposed: length of the frame to transmit.</t>
        </is>
      </c>
      <c r="K69" s="4" t="inlineStr">
        <is>
          <t>DRAFT - this workbook (plan s7.2)</t>
        </is>
      </c>
      <c r="L69" s="42" t="inlineStr">
        <is>
          <t>DRAFT</t>
        </is>
      </c>
    </row>
    <row r="70">
      <c r="A70" s="31" t="inlineStr">
        <is>
          <t>Ethernet MAC  (DRAFT)</t>
        </is>
      </c>
      <c r="B70" s="33" t="n">
        <v>268484608</v>
      </c>
      <c r="C70" s="59" t="n">
        <v>28</v>
      </c>
      <c r="D70" s="53" t="n">
        <v>28</v>
      </c>
      <c r="E70" s="33" t="n">
        <v>268484636</v>
      </c>
      <c r="F70" s="29" t="inlineStr">
        <is>
          <t>FRAME_ERR_COUNT</t>
        </is>
      </c>
      <c r="G70" s="60" t="inlineStr">
        <is>
          <t>R</t>
        </is>
      </c>
      <c r="H70" s="33" t="n"/>
      <c r="I70" s="35" t="n">
        <v>32</v>
      </c>
      <c r="J70" s="32" t="inlineStr">
        <is>
          <t>Proposed: framing / FCS error count at the MAC.</t>
        </is>
      </c>
      <c r="K70" s="32" t="inlineStr">
        <is>
          <t>DRAFT - this workbook (plan s7.2)</t>
        </is>
      </c>
      <c r="L70" s="42" t="inlineStr">
        <is>
          <t>DRAFT</t>
        </is>
      </c>
    </row>
    <row r="71">
      <c r="A71" s="21" t="inlineStr">
        <is>
          <t>Ethernet MAC  (DRAFT)</t>
        </is>
      </c>
      <c r="B71" s="22" t="n">
        <v>268484608</v>
      </c>
      <c r="C71" s="57" t="n">
        <v>32</v>
      </c>
      <c r="D71" s="49" t="n">
        <v>32</v>
      </c>
      <c r="E71" s="22" t="n">
        <v>268484640</v>
      </c>
      <c r="F71" s="19" t="inlineStr">
        <is>
          <t>INT_STATUS</t>
        </is>
      </c>
      <c r="G71" s="58" t="inlineStr">
        <is>
          <t>R/W1C</t>
        </is>
      </c>
      <c r="H71" s="22" t="n"/>
      <c r="I71" s="24" t="n">
        <v>32</v>
      </c>
      <c r="J71" s="4" t="inlineStr">
        <is>
          <t>Proposed: RX_DONE, TX_DONE, ERROR. Feeds a PIC source.</t>
        </is>
      </c>
      <c r="K71" s="4" t="inlineStr">
        <is>
          <t>DRAFT - this workbook (plan s7.2)</t>
        </is>
      </c>
      <c r="L71" s="42" t="inlineStr">
        <is>
          <t>DRAFT</t>
        </is>
      </c>
    </row>
    <row r="72">
      <c r="A72" s="31" t="inlineStr">
        <is>
          <t>Ethernet MAC  (DRAFT)</t>
        </is>
      </c>
      <c r="B72" s="33" t="n">
        <v>268484608</v>
      </c>
      <c r="C72" s="59" t="n">
        <v>36</v>
      </c>
      <c r="D72" s="53" t="n">
        <v>36</v>
      </c>
      <c r="E72" s="33" t="n">
        <v>268484644</v>
      </c>
      <c r="F72" s="29" t="inlineStr">
        <is>
          <t>INT_ENABLE</t>
        </is>
      </c>
      <c r="G72" s="60" t="inlineStr">
        <is>
          <t>R/W</t>
        </is>
      </c>
      <c r="H72" s="33" t="n"/>
      <c r="I72" s="35" t="n">
        <v>32</v>
      </c>
      <c r="J72" s="32" t="inlineStr">
        <is>
          <t>Proposed: interrupt enable mask.</t>
        </is>
      </c>
      <c r="K72" s="32" t="inlineStr">
        <is>
          <t>DRAFT - this workbook (plan s7.2)</t>
        </is>
      </c>
      <c r="L72" s="42" t="inlineStr">
        <is>
          <t>DRAFT</t>
        </is>
      </c>
    </row>
    <row r="73">
      <c r="A73" s="61" t="n"/>
      <c r="B73" s="61" t="n"/>
      <c r="C73" s="61" t="n"/>
      <c r="D73" s="61" t="n"/>
      <c r="E73" s="61" t="n"/>
      <c r="F73" s="61" t="n"/>
      <c r="G73" s="61" t="n"/>
      <c r="H73" s="61" t="n"/>
      <c r="I73" s="61" t="n"/>
      <c r="J73" s="61" t="n"/>
      <c r="K73" s="61" t="n"/>
      <c r="L73" s="61" t="n"/>
    </row>
    <row r="74">
      <c r="A74" s="21" t="inlineStr">
        <is>
          <t>Hardware Timestamp Unit  (DRAFT)</t>
        </is>
      </c>
      <c r="B74" s="22" t="n">
        <v>268492800</v>
      </c>
      <c r="C74" s="57" t="n">
        <v>0</v>
      </c>
      <c r="D74" s="49" t="n">
        <v>0</v>
      </c>
      <c r="E74" s="22" t="n">
        <v>268492800</v>
      </c>
      <c r="F74" s="19" t="inlineStr">
        <is>
          <t>CONTROL</t>
        </is>
      </c>
      <c r="G74" s="58" t="inlineStr">
        <is>
          <t>R/W</t>
        </is>
      </c>
      <c r="H74" s="22" t="n"/>
      <c r="I74" s="24" t="n">
        <v>32</v>
      </c>
      <c r="J74" s="4" t="inlineStr">
        <is>
          <t>Proposed: ENABLE, CAPTURE_MODE (first byte / last byte / accepted boundary - mode must be frozen, sheet 8).</t>
        </is>
      </c>
      <c r="K74" s="4" t="inlineStr">
        <is>
          <t>DRAFT - this workbook (plan s9.4)</t>
        </is>
      </c>
      <c r="L74" s="42" t="inlineStr">
        <is>
          <t>DRAFT</t>
        </is>
      </c>
    </row>
    <row r="75">
      <c r="A75" s="31" t="inlineStr">
        <is>
          <t>Hardware Timestamp Unit  (DRAFT)</t>
        </is>
      </c>
      <c r="B75" s="33" t="n">
        <v>268492800</v>
      </c>
      <c r="C75" s="59" t="n">
        <v>4</v>
      </c>
      <c r="D75" s="53" t="n">
        <v>4</v>
      </c>
      <c r="E75" s="33" t="n">
        <v>268492804</v>
      </c>
      <c r="F75" s="29" t="inlineStr">
        <is>
          <t>STATUS</t>
        </is>
      </c>
      <c r="G75" s="60" t="inlineStr">
        <is>
          <t>R</t>
        </is>
      </c>
      <c r="H75" s="33" t="n"/>
      <c r="I75" s="35" t="n">
        <v>32</v>
      </c>
      <c r="J75" s="32" t="inlineStr">
        <is>
          <t>Proposed: CAPTURE_VALID, COUNTER_RUNNING.</t>
        </is>
      </c>
      <c r="K75" s="32" t="inlineStr">
        <is>
          <t>DRAFT - this workbook (plan s9.4)</t>
        </is>
      </c>
      <c r="L75" s="42" t="inlineStr">
        <is>
          <t>DRAFT</t>
        </is>
      </c>
    </row>
    <row r="76">
      <c r="A76" s="21" t="inlineStr">
        <is>
          <t>Hardware Timestamp Unit  (DRAFT)</t>
        </is>
      </c>
      <c r="B76" s="22" t="n">
        <v>268492800</v>
      </c>
      <c r="C76" s="57" t="n">
        <v>8</v>
      </c>
      <c r="D76" s="49" t="n">
        <v>8</v>
      </c>
      <c r="E76" s="22" t="n">
        <v>268492808</v>
      </c>
      <c r="F76" s="19" t="inlineStr">
        <is>
          <t>TS_COUNTER_LO</t>
        </is>
      </c>
      <c r="G76" s="58" t="inlineStr">
        <is>
          <t>R</t>
        </is>
      </c>
      <c r="H76" s="22" t="n"/>
      <c r="I76" s="24" t="n">
        <v>32</v>
      </c>
      <c r="J76" s="4" t="inlineStr">
        <is>
          <t>Proposed: current 64-bit counter, bits [31:0].</t>
        </is>
      </c>
      <c r="K76" s="4" t="inlineStr">
        <is>
          <t>DRAFT - this workbook (plan s9.4)</t>
        </is>
      </c>
      <c r="L76" s="42" t="inlineStr">
        <is>
          <t>DRAFT</t>
        </is>
      </c>
    </row>
    <row r="77">
      <c r="A77" s="31" t="inlineStr">
        <is>
          <t>Hardware Timestamp Unit  (DRAFT)</t>
        </is>
      </c>
      <c r="B77" s="33" t="n">
        <v>268492800</v>
      </c>
      <c r="C77" s="59" t="n">
        <v>12</v>
      </c>
      <c r="D77" s="53" t="n">
        <v>12</v>
      </c>
      <c r="E77" s="33" t="n">
        <v>268492812</v>
      </c>
      <c r="F77" s="29" t="inlineStr">
        <is>
          <t>TS_COUNTER_HI</t>
        </is>
      </c>
      <c r="G77" s="60" t="inlineStr">
        <is>
          <t>R</t>
        </is>
      </c>
      <c r="H77" s="33" t="n"/>
      <c r="I77" s="35" t="n">
        <v>32</v>
      </c>
      <c r="J77" s="32" t="inlineStr">
        <is>
          <t>Proposed: current 64-bit counter, bits [63:32]. Counter width and rollover are open items.</t>
        </is>
      </c>
      <c r="K77" s="32" t="inlineStr">
        <is>
          <t>DRAFT - this workbook (plan s9.4)</t>
        </is>
      </c>
      <c r="L77" s="42" t="inlineStr">
        <is>
          <t>DRAFT</t>
        </is>
      </c>
    </row>
    <row r="78">
      <c r="A78" s="21" t="inlineStr">
        <is>
          <t>Hardware Timestamp Unit  (DRAFT)</t>
        </is>
      </c>
      <c r="B78" s="22" t="n">
        <v>268492800</v>
      </c>
      <c r="C78" s="57" t="n">
        <v>16</v>
      </c>
      <c r="D78" s="49" t="n">
        <v>16</v>
      </c>
      <c r="E78" s="22" t="n">
        <v>268492816</v>
      </c>
      <c r="F78" s="19" t="inlineStr">
        <is>
          <t>CAPTURE_LO</t>
        </is>
      </c>
      <c r="G78" s="58" t="inlineStr">
        <is>
          <t>R</t>
        </is>
      </c>
      <c r="H78" s="22" t="n"/>
      <c r="I78" s="24" t="n">
        <v>32</v>
      </c>
      <c r="J78" s="4" t="inlineStr">
        <is>
          <t>Proposed: captured packet timestamp, bits [31:0].</t>
        </is>
      </c>
      <c r="K78" s="4" t="inlineStr">
        <is>
          <t>DRAFT - this workbook (plan s9.4)</t>
        </is>
      </c>
      <c r="L78" s="42" t="inlineStr">
        <is>
          <t>DRAFT</t>
        </is>
      </c>
    </row>
    <row r="79">
      <c r="A79" s="31" t="inlineStr">
        <is>
          <t>Hardware Timestamp Unit  (DRAFT)</t>
        </is>
      </c>
      <c r="B79" s="33" t="n">
        <v>268492800</v>
      </c>
      <c r="C79" s="59" t="n">
        <v>20</v>
      </c>
      <c r="D79" s="53" t="n">
        <v>20</v>
      </c>
      <c r="E79" s="33" t="n">
        <v>268492820</v>
      </c>
      <c r="F79" s="29" t="inlineStr">
        <is>
          <t>CAPTURE_HI</t>
        </is>
      </c>
      <c r="G79" s="60" t="inlineStr">
        <is>
          <t>R</t>
        </is>
      </c>
      <c r="H79" s="33" t="n"/>
      <c r="I79" s="35" t="n">
        <v>32</v>
      </c>
      <c r="J79" s="32" t="inlineStr">
        <is>
          <t>Proposed: captured packet timestamp, bits [63:32].</t>
        </is>
      </c>
      <c r="K79" s="32" t="inlineStr">
        <is>
          <t>DRAFT - this workbook (plan s9.4)</t>
        </is>
      </c>
      <c r="L79" s="42" t="inlineStr">
        <is>
          <t>DRAFT</t>
        </is>
      </c>
    </row>
    <row r="80">
      <c r="A80" s="21" t="inlineStr">
        <is>
          <t>Hardware Timestamp Unit  (DRAFT)</t>
        </is>
      </c>
      <c r="B80" s="22" t="n">
        <v>268492800</v>
      </c>
      <c r="C80" s="57" t="n">
        <v>24</v>
      </c>
      <c r="D80" s="49" t="n">
        <v>24</v>
      </c>
      <c r="E80" s="22" t="n">
        <v>268492824</v>
      </c>
      <c r="F80" s="19" t="inlineStr">
        <is>
          <t>IRQ_STATUS</t>
        </is>
      </c>
      <c r="G80" s="58" t="inlineStr">
        <is>
          <t>R/W1C</t>
        </is>
      </c>
      <c r="H80" s="22" t="n"/>
      <c r="I80" s="24" t="n">
        <v>32</v>
      </c>
      <c r="J80" s="4" t="inlineStr">
        <is>
          <t>Proposed: capture-ready status. Write 1 to clear / re-arm.</t>
        </is>
      </c>
      <c r="K80" s="4" t="inlineStr">
        <is>
          <t>DRAFT - this workbook (plan s9.4)</t>
        </is>
      </c>
      <c r="L80" s="42" t="inlineStr">
        <is>
          <t>DRAFT</t>
        </is>
      </c>
    </row>
    <row r="81">
      <c r="A81" s="31" t="inlineStr">
        <is>
          <t>Hardware Timestamp Unit  (DRAFT)</t>
        </is>
      </c>
      <c r="B81" s="33" t="n">
        <v>268492800</v>
      </c>
      <c r="C81" s="59" t="n">
        <v>28</v>
      </c>
      <c r="D81" s="53" t="n">
        <v>28</v>
      </c>
      <c r="E81" s="33" t="n">
        <v>268492828</v>
      </c>
      <c r="F81" s="29" t="inlineStr">
        <is>
          <t>IRQ_ENABLE</t>
        </is>
      </c>
      <c r="G81" s="60" t="inlineStr">
        <is>
          <t>R/W</t>
        </is>
      </c>
      <c r="H81" s="33" t="n"/>
      <c r="I81" s="35" t="n">
        <v>32</v>
      </c>
      <c r="J81" s="32" t="inlineStr">
        <is>
          <t>Proposed: timestamp interrupt enable.</t>
        </is>
      </c>
      <c r="K81" s="32" t="inlineStr">
        <is>
          <t>DRAFT - this workbook (plan s9.4)</t>
        </is>
      </c>
      <c r="L81" s="42" t="inlineStr">
        <is>
          <t>DRAFT</t>
        </is>
      </c>
    </row>
    <row r="82">
      <c r="A82" s="61" t="n"/>
      <c r="B82" s="61" t="n"/>
      <c r="C82" s="61" t="n"/>
      <c r="D82" s="61" t="n"/>
      <c r="E82" s="61" t="n"/>
      <c r="F82" s="61" t="n"/>
      <c r="G82" s="61" t="n"/>
      <c r="H82" s="61" t="n"/>
      <c r="I82" s="61" t="n"/>
      <c r="J82" s="61" t="n"/>
      <c r="K82" s="61" t="n"/>
      <c r="L82" s="61" t="n"/>
    </row>
    <row r="83">
      <c r="A83" s="21" t="inlineStr">
        <is>
          <t>Packet / Flow Buffer  (DRAFT)</t>
        </is>
      </c>
      <c r="B83" s="22" t="n">
        <v>268500992</v>
      </c>
      <c r="C83" s="57" t="n">
        <v>0</v>
      </c>
      <c r="D83" s="49" t="n">
        <v>0</v>
      </c>
      <c r="E83" s="22" t="n">
        <v>268500992</v>
      </c>
      <c r="F83" s="19" t="inlineStr">
        <is>
          <t>CONTROL</t>
        </is>
      </c>
      <c r="G83" s="58" t="inlineStr">
        <is>
          <t>R/W</t>
        </is>
      </c>
      <c r="H83" s="22" t="n"/>
      <c r="I83" s="24" t="n">
        <v>32</v>
      </c>
      <c r="J83" s="4" t="inlineStr">
        <is>
          <t>Proposed: ENABLE, FLUSH.</t>
        </is>
      </c>
      <c r="K83" s="4" t="inlineStr">
        <is>
          <t>DRAFT - this workbook (plan s12.2 / s12.4)</t>
        </is>
      </c>
      <c r="L83" s="42" t="inlineStr">
        <is>
          <t>DRAFT</t>
        </is>
      </c>
    </row>
    <row r="84">
      <c r="A84" s="31" t="inlineStr">
        <is>
          <t>Packet / Flow Buffer  (DRAFT)</t>
        </is>
      </c>
      <c r="B84" s="33" t="n">
        <v>268500992</v>
      </c>
      <c r="C84" s="59" t="n">
        <v>4</v>
      </c>
      <c r="D84" s="53" t="n">
        <v>4</v>
      </c>
      <c r="E84" s="33" t="n">
        <v>268500996</v>
      </c>
      <c r="F84" s="29" t="inlineStr">
        <is>
          <t>STATUS</t>
        </is>
      </c>
      <c r="G84" s="60" t="inlineStr">
        <is>
          <t>R</t>
        </is>
      </c>
      <c r="H84" s="33" t="n"/>
      <c r="I84" s="35" t="n">
        <v>32</v>
      </c>
      <c r="J84" s="32" t="inlineStr">
        <is>
          <t>Proposed: FULL, EMPTY, OVERFLOW, plus head/tail indication.</t>
        </is>
      </c>
      <c r="K84" s="32" t="inlineStr">
        <is>
          <t>DRAFT - this workbook (plan s12.2 / s12.4)</t>
        </is>
      </c>
      <c r="L84" s="42" t="inlineStr">
        <is>
          <t>DRAFT</t>
        </is>
      </c>
    </row>
    <row r="85">
      <c r="A85" s="21" t="inlineStr">
        <is>
          <t>Packet / Flow Buffer  (DRAFT)</t>
        </is>
      </c>
      <c r="B85" s="22" t="n">
        <v>268500992</v>
      </c>
      <c r="C85" s="57" t="n">
        <v>8</v>
      </c>
      <c r="D85" s="49" t="n">
        <v>8</v>
      </c>
      <c r="E85" s="22" t="n">
        <v>268501000</v>
      </c>
      <c r="F85" s="19" t="inlineStr">
        <is>
          <t>WR_PTR</t>
        </is>
      </c>
      <c r="G85" s="58" t="inlineStr">
        <is>
          <t>R</t>
        </is>
      </c>
      <c r="H85" s="22" t="n"/>
      <c r="I85" s="24" t="n">
        <v>32</v>
      </c>
      <c r="J85" s="4" t="inlineStr">
        <is>
          <t>Proposed: write pointer. Read-only to software in the first milestone.</t>
        </is>
      </c>
      <c r="K85" s="4" t="inlineStr">
        <is>
          <t>DRAFT - this workbook (plan s12.2 / s12.4)</t>
        </is>
      </c>
      <c r="L85" s="42" t="inlineStr">
        <is>
          <t>DRAFT</t>
        </is>
      </c>
    </row>
    <row r="86">
      <c r="A86" s="31" t="inlineStr">
        <is>
          <t>Packet / Flow Buffer  (DRAFT)</t>
        </is>
      </c>
      <c r="B86" s="33" t="n">
        <v>268500992</v>
      </c>
      <c r="C86" s="59" t="n">
        <v>12</v>
      </c>
      <c r="D86" s="53" t="n">
        <v>12</v>
      </c>
      <c r="E86" s="33" t="n">
        <v>268501004</v>
      </c>
      <c r="F86" s="29" t="inlineStr">
        <is>
          <t>RD_PTR</t>
        </is>
      </c>
      <c r="G86" s="60" t="inlineStr">
        <is>
          <t>R/W</t>
        </is>
      </c>
      <c r="H86" s="33" t="n"/>
      <c r="I86" s="35" t="n">
        <v>32</v>
      </c>
      <c r="J86" s="32" t="inlineStr">
        <is>
          <t>Proposed: read pointer, writable so software can drain explicitly.</t>
        </is>
      </c>
      <c r="K86" s="32" t="inlineStr">
        <is>
          <t>DRAFT - this workbook (plan s12.2 / s12.4)</t>
        </is>
      </c>
      <c r="L86" s="42" t="inlineStr">
        <is>
          <t>DRAFT</t>
        </is>
      </c>
    </row>
    <row r="87">
      <c r="A87" s="21" t="inlineStr">
        <is>
          <t>Packet / Flow Buffer  (DRAFT)</t>
        </is>
      </c>
      <c r="B87" s="22" t="n">
        <v>268500992</v>
      </c>
      <c r="C87" s="57" t="n">
        <v>16</v>
      </c>
      <c r="D87" s="49" t="n">
        <v>16</v>
      </c>
      <c r="E87" s="22" t="n">
        <v>268501008</v>
      </c>
      <c r="F87" s="19" t="inlineStr">
        <is>
          <t>DEPTH</t>
        </is>
      </c>
      <c r="G87" s="58" t="inlineStr">
        <is>
          <t>R</t>
        </is>
      </c>
      <c r="H87" s="22" t="n"/>
      <c r="I87" s="24" t="n">
        <v>32</v>
      </c>
      <c r="J87" s="4" t="inlineStr">
        <is>
          <t>Proposed: read-only depth constant. Must be frozen (plan s12.4).</t>
        </is>
      </c>
      <c r="K87" s="4" t="inlineStr">
        <is>
          <t>DRAFT - this workbook (plan s12.2 / s12.4)</t>
        </is>
      </c>
      <c r="L87" s="42" t="inlineStr">
        <is>
          <t>DRAFT</t>
        </is>
      </c>
    </row>
    <row r="88">
      <c r="A88" s="31" t="inlineStr">
        <is>
          <t>Packet / Flow Buffer  (DRAFT)</t>
        </is>
      </c>
      <c r="B88" s="33" t="n">
        <v>268500992</v>
      </c>
      <c r="C88" s="59" t="n">
        <v>20</v>
      </c>
      <c r="D88" s="53" t="n">
        <v>20</v>
      </c>
      <c r="E88" s="33" t="n">
        <v>268501012</v>
      </c>
      <c r="F88" s="29" t="inlineStr">
        <is>
          <t>ENTRY_WIDTH</t>
        </is>
      </c>
      <c r="G88" s="60" t="inlineStr">
        <is>
          <t>R</t>
        </is>
      </c>
      <c r="H88" s="33" t="n"/>
      <c r="I88" s="35" t="n">
        <v>32</v>
      </c>
      <c r="J88" s="32" t="inlineStr">
        <is>
          <t>Proposed: read-only entry width in bytes. Must be frozen (plan s12.4).</t>
        </is>
      </c>
      <c r="K88" s="32" t="inlineStr">
        <is>
          <t>DRAFT - this workbook (plan s12.2 / s12.4)</t>
        </is>
      </c>
      <c r="L88" s="42" t="inlineStr">
        <is>
          <t>DRAFT</t>
        </is>
      </c>
    </row>
    <row r="89">
      <c r="A89" s="21" t="inlineStr">
        <is>
          <t>Packet / Flow Buffer  (DRAFT)</t>
        </is>
      </c>
      <c r="B89" s="22" t="n">
        <v>268500992</v>
      </c>
      <c r="C89" s="57" t="n">
        <v>24</v>
      </c>
      <c r="D89" s="49" t="n">
        <v>24</v>
      </c>
      <c r="E89" s="22" t="n">
        <v>268501016</v>
      </c>
      <c r="F89" s="19" t="inlineStr">
        <is>
          <t>OVERFLOW_COUNT</t>
        </is>
      </c>
      <c r="G89" s="58" t="inlineStr">
        <is>
          <t>R</t>
        </is>
      </c>
      <c r="H89" s="22" t="n"/>
      <c r="I89" s="24" t="n">
        <v>32</v>
      </c>
      <c r="J89" s="4" t="inlineStr">
        <is>
          <t>Proposed: entries dropped due to overflow.</t>
        </is>
      </c>
      <c r="K89" s="4" t="inlineStr">
        <is>
          <t>DRAFT - this workbook (plan s12.2 / s12.4)</t>
        </is>
      </c>
      <c r="L89" s="42" t="inlineStr">
        <is>
          <t>DRAFT</t>
        </is>
      </c>
    </row>
    <row r="90">
      <c r="A90" s="31" t="inlineStr">
        <is>
          <t>Packet / Flow Buffer  (DRAFT)</t>
        </is>
      </c>
      <c r="B90" s="33" t="n">
        <v>268500992</v>
      </c>
      <c r="C90" s="59" t="n">
        <v>28</v>
      </c>
      <c r="D90" s="53" t="n">
        <v>28</v>
      </c>
      <c r="E90" s="33" t="n">
        <v>268501020</v>
      </c>
      <c r="F90" s="29" t="inlineStr">
        <is>
          <t>THRESHOLD</t>
        </is>
      </c>
      <c r="G90" s="60" t="inlineStr">
        <is>
          <t>R/W</t>
        </is>
      </c>
      <c r="H90" s="33" t="n"/>
      <c r="I90" s="35" t="n">
        <v>32</v>
      </c>
      <c r="J90" s="32" t="inlineStr">
        <is>
          <t>Proposed: occupancy threshold that raises the interrupt.</t>
        </is>
      </c>
      <c r="K90" s="32" t="inlineStr">
        <is>
          <t>DRAFT - this workbook (plan s12.2 / s12.4)</t>
        </is>
      </c>
      <c r="L90" s="42" t="inlineStr">
        <is>
          <t>DRAFT</t>
        </is>
      </c>
    </row>
    <row r="91">
      <c r="A91" s="21" t="inlineStr">
        <is>
          <t>Packet / Flow Buffer  (DRAFT)</t>
        </is>
      </c>
      <c r="B91" s="22" t="n">
        <v>268500992</v>
      </c>
      <c r="C91" s="57" t="n">
        <v>32</v>
      </c>
      <c r="D91" s="49" t="n">
        <v>32</v>
      </c>
      <c r="E91" s="22" t="n">
        <v>268501024</v>
      </c>
      <c r="F91" s="19" t="inlineStr">
        <is>
          <t>IRQ_STATUS</t>
        </is>
      </c>
      <c r="G91" s="58" t="inlineStr">
        <is>
          <t>R/W1C</t>
        </is>
      </c>
      <c r="H91" s="22" t="n"/>
      <c r="I91" s="24" t="n">
        <v>32</v>
      </c>
      <c r="J91" s="4" t="inlineStr">
        <is>
          <t>Proposed: THRESHOLD_REACHED, OVERFLOW. Write 1 to clear.</t>
        </is>
      </c>
      <c r="K91" s="4" t="inlineStr">
        <is>
          <t>DRAFT - this workbook (plan s12.2 / s12.4)</t>
        </is>
      </c>
      <c r="L91" s="42" t="inlineStr">
        <is>
          <t>DRAFT</t>
        </is>
      </c>
    </row>
    <row r="92">
      <c r="A92" s="31" t="inlineStr">
        <is>
          <t>Packet / Flow Buffer  (DRAFT)</t>
        </is>
      </c>
      <c r="B92" s="33" t="n">
        <v>268500992</v>
      </c>
      <c r="C92" s="59" t="n">
        <v>36</v>
      </c>
      <c r="D92" s="53" t="n">
        <v>36</v>
      </c>
      <c r="E92" s="33" t="n">
        <v>268501028</v>
      </c>
      <c r="F92" s="29" t="inlineStr">
        <is>
          <t>IRQ_ENABLE</t>
        </is>
      </c>
      <c r="G92" s="60" t="inlineStr">
        <is>
          <t>R/W</t>
        </is>
      </c>
      <c r="H92" s="33" t="n"/>
      <c r="I92" s="35" t="n">
        <v>32</v>
      </c>
      <c r="J92" s="32" t="inlineStr">
        <is>
          <t>Proposed: interrupt enable mask.</t>
        </is>
      </c>
      <c r="K92" s="32" t="inlineStr">
        <is>
          <t>DRAFT - this workbook (plan s12.2 / s12.4)</t>
        </is>
      </c>
      <c r="L92" s="42" t="inlineStr">
        <is>
          <t>DRAFT</t>
        </is>
      </c>
    </row>
    <row r="93">
      <c r="A93" s="61" t="n"/>
      <c r="B93" s="61" t="n"/>
      <c r="C93" s="61" t="n"/>
      <c r="D93" s="61" t="n"/>
      <c r="E93" s="61" t="n"/>
      <c r="F93" s="61" t="n"/>
      <c r="G93" s="61" t="n"/>
      <c r="H93" s="61" t="n"/>
      <c r="I93" s="61" t="n"/>
      <c r="J93" s="61" t="n"/>
      <c r="K93" s="61" t="n"/>
      <c r="L93" s="61" t="n"/>
    </row>
    <row r="94">
      <c r="A94" s="21" t="inlineStr">
        <is>
          <t>DMA Controller  (DRAFT)</t>
        </is>
      </c>
      <c r="B94" s="22" t="n">
        <v>268509184</v>
      </c>
      <c r="C94" s="57" t="n">
        <v>0</v>
      </c>
      <c r="D94" s="49" t="n">
        <v>0</v>
      </c>
      <c r="E94" s="22" t="n">
        <v>268509184</v>
      </c>
      <c r="F94" s="19" t="inlineStr">
        <is>
          <t>CONTROL</t>
        </is>
      </c>
      <c r="G94" s="58" t="inlineStr">
        <is>
          <t>R/W</t>
        </is>
      </c>
      <c r="H94" s="22" t="n"/>
      <c r="I94" s="24" t="n">
        <v>32</v>
      </c>
      <c r="J94" s="4" t="inlineStr">
        <is>
          <t>Proposed: START, DIR (buffer-&gt;memory / memory-&gt;buffer), ABORT.</t>
        </is>
      </c>
      <c r="K94" s="4" t="inlineStr">
        <is>
          <t>DRAFT - this workbook (plan s13.2)</t>
        </is>
      </c>
      <c r="L94" s="42" t="inlineStr">
        <is>
          <t>DRAFT</t>
        </is>
      </c>
    </row>
    <row r="95">
      <c r="A95" s="31" t="inlineStr">
        <is>
          <t>DMA Controller  (DRAFT)</t>
        </is>
      </c>
      <c r="B95" s="33" t="n">
        <v>268509184</v>
      </c>
      <c r="C95" s="59" t="n">
        <v>4</v>
      </c>
      <c r="D95" s="53" t="n">
        <v>4</v>
      </c>
      <c r="E95" s="33" t="n">
        <v>268509188</v>
      </c>
      <c r="F95" s="29" t="inlineStr">
        <is>
          <t>STATUS</t>
        </is>
      </c>
      <c r="G95" s="60" t="inlineStr">
        <is>
          <t>R</t>
        </is>
      </c>
      <c r="H95" s="33" t="n"/>
      <c r="I95" s="35" t="n">
        <v>32</v>
      </c>
      <c r="J95" s="32" t="inlineStr">
        <is>
          <t>Proposed: BUSY, DONE, ERROR.</t>
        </is>
      </c>
      <c r="K95" s="32" t="inlineStr">
        <is>
          <t>DRAFT - this workbook (plan s13.2)</t>
        </is>
      </c>
      <c r="L95" s="42" t="inlineStr">
        <is>
          <t>DRAFT</t>
        </is>
      </c>
    </row>
    <row r="96">
      <c r="A96" s="21" t="inlineStr">
        <is>
          <t>DMA Controller  (DRAFT)</t>
        </is>
      </c>
      <c r="B96" s="22" t="n">
        <v>268509184</v>
      </c>
      <c r="C96" s="57" t="n">
        <v>8</v>
      </c>
      <c r="D96" s="49" t="n">
        <v>8</v>
      </c>
      <c r="E96" s="22" t="n">
        <v>268509192</v>
      </c>
      <c r="F96" s="19" t="inlineStr">
        <is>
          <t>SRC_ADDR</t>
        </is>
      </c>
      <c r="G96" s="58" t="inlineStr">
        <is>
          <t>R/W</t>
        </is>
      </c>
      <c r="H96" s="22" t="n"/>
      <c r="I96" s="24" t="n">
        <v>32</v>
      </c>
      <c r="J96" s="4" t="inlineStr">
        <is>
          <t>Proposed: source address inside the Packet / Flow Buffer window.</t>
        </is>
      </c>
      <c r="K96" s="4" t="inlineStr">
        <is>
          <t>DRAFT - this workbook (plan s13.2)</t>
        </is>
      </c>
      <c r="L96" s="42" t="inlineStr">
        <is>
          <t>DRAFT</t>
        </is>
      </c>
    </row>
    <row r="97">
      <c r="A97" s="31" t="inlineStr">
        <is>
          <t>DMA Controller  (DRAFT)</t>
        </is>
      </c>
      <c r="B97" s="33" t="n">
        <v>268509184</v>
      </c>
      <c r="C97" s="59" t="n">
        <v>12</v>
      </c>
      <c r="D97" s="53" t="n">
        <v>12</v>
      </c>
      <c r="E97" s="33" t="n">
        <v>268509196</v>
      </c>
      <c r="F97" s="29" t="inlineStr">
        <is>
          <t>DST_ADDR</t>
        </is>
      </c>
      <c r="G97" s="60" t="inlineStr">
        <is>
          <t>R/W</t>
        </is>
      </c>
      <c r="H97" s="33" t="n"/>
      <c r="I97" s="35" t="n">
        <v>32</v>
      </c>
      <c r="J97" s="32" t="inlineStr">
        <is>
          <t>Proposed: destination address inside DMEM (0x00010000-0x00017FFF).</t>
        </is>
      </c>
      <c r="K97" s="32" t="inlineStr">
        <is>
          <t>DRAFT - this workbook (plan s13.2)</t>
        </is>
      </c>
      <c r="L97" s="42" t="inlineStr">
        <is>
          <t>DRAFT</t>
        </is>
      </c>
    </row>
    <row r="98">
      <c r="A98" s="21" t="inlineStr">
        <is>
          <t>DMA Controller  (DRAFT)</t>
        </is>
      </c>
      <c r="B98" s="22" t="n">
        <v>268509184</v>
      </c>
      <c r="C98" s="57" t="n">
        <v>16</v>
      </c>
      <c r="D98" s="49" t="n">
        <v>16</v>
      </c>
      <c r="E98" s="22" t="n">
        <v>268509200</v>
      </c>
      <c r="F98" s="19" t="inlineStr">
        <is>
          <t>LENGTH</t>
        </is>
      </c>
      <c r="G98" s="58" t="inlineStr">
        <is>
          <t>R/W</t>
        </is>
      </c>
      <c r="H98" s="22" t="n"/>
      <c r="I98" s="24" t="n">
        <v>32</v>
      </c>
      <c r="J98" s="4" t="inlineStr">
        <is>
          <t>Proposed: transfer length in bytes.</t>
        </is>
      </c>
      <c r="K98" s="4" t="inlineStr">
        <is>
          <t>DRAFT - this workbook (plan s13.2)</t>
        </is>
      </c>
      <c r="L98" s="42" t="inlineStr">
        <is>
          <t>DRAFT</t>
        </is>
      </c>
    </row>
    <row r="99">
      <c r="A99" s="31" t="inlineStr">
        <is>
          <t>DMA Controller  (DRAFT)</t>
        </is>
      </c>
      <c r="B99" s="33" t="n">
        <v>268509184</v>
      </c>
      <c r="C99" s="59" t="n">
        <v>20</v>
      </c>
      <c r="D99" s="53" t="n">
        <v>20</v>
      </c>
      <c r="E99" s="33" t="n">
        <v>268509204</v>
      </c>
      <c r="F99" s="29" t="inlineStr">
        <is>
          <t>DESC_ADDR</t>
        </is>
      </c>
      <c r="G99" s="60" t="inlineStr">
        <is>
          <t>R/W</t>
        </is>
      </c>
      <c r="H99" s="33" t="n"/>
      <c r="I99" s="35" t="n">
        <v>32</v>
      </c>
      <c r="J99" s="32" t="inlineStr">
        <is>
          <t>Proposed: descriptor address. Single channel, no scatter-gather in the first milestone.</t>
        </is>
      </c>
      <c r="K99" s="32" t="inlineStr">
        <is>
          <t>DRAFT - this workbook (plan s13.2)</t>
        </is>
      </c>
      <c r="L99" s="42" t="inlineStr">
        <is>
          <t>DRAFT</t>
        </is>
      </c>
    </row>
    <row r="100">
      <c r="A100" s="21" t="inlineStr">
        <is>
          <t>DMA Controller  (DRAFT)</t>
        </is>
      </c>
      <c r="B100" s="22" t="n">
        <v>268509184</v>
      </c>
      <c r="C100" s="57" t="n">
        <v>24</v>
      </c>
      <c r="D100" s="49" t="n">
        <v>24</v>
      </c>
      <c r="E100" s="22" t="n">
        <v>268509208</v>
      </c>
      <c r="F100" s="19" t="inlineStr">
        <is>
          <t>IRQ_ENABLE</t>
        </is>
      </c>
      <c r="G100" s="58" t="inlineStr">
        <is>
          <t>R/W</t>
        </is>
      </c>
      <c r="H100" s="22" t="n"/>
      <c r="I100" s="24" t="n">
        <v>32</v>
      </c>
      <c r="J100" s="4" t="inlineStr">
        <is>
          <t>Proposed: completion / error interrupt enable.</t>
        </is>
      </c>
      <c r="K100" s="4" t="inlineStr">
        <is>
          <t>DRAFT - this workbook (plan s13.2)</t>
        </is>
      </c>
      <c r="L100" s="42" t="inlineStr">
        <is>
          <t>DRAFT</t>
        </is>
      </c>
    </row>
    <row r="101">
      <c r="A101" s="31" t="inlineStr">
        <is>
          <t>DMA Controller  (DRAFT)</t>
        </is>
      </c>
      <c r="B101" s="33" t="n">
        <v>268509184</v>
      </c>
      <c r="C101" s="59" t="n">
        <v>28</v>
      </c>
      <c r="D101" s="53" t="n">
        <v>28</v>
      </c>
      <c r="E101" s="33" t="n">
        <v>268509212</v>
      </c>
      <c r="F101" s="29" t="inlineStr">
        <is>
          <t>IRQ_STATUS</t>
        </is>
      </c>
      <c r="G101" s="60" t="inlineStr">
        <is>
          <t>R/W1C</t>
        </is>
      </c>
      <c r="H101" s="33" t="n"/>
      <c r="I101" s="35" t="n">
        <v>32</v>
      </c>
      <c r="J101" s="32" t="inlineStr">
        <is>
          <t>Proposed: DONE, ERROR. Write 1 to clear.</t>
        </is>
      </c>
      <c r="K101" s="32" t="inlineStr">
        <is>
          <t>DRAFT - this workbook (plan s13.2)</t>
        </is>
      </c>
      <c r="L101" s="42" t="inlineStr">
        <is>
          <t>DRAFT</t>
        </is>
      </c>
    </row>
    <row r="102">
      <c r="A102" s="21" t="inlineStr">
        <is>
          <t>DMA Controller  (DRAFT)</t>
        </is>
      </c>
      <c r="B102" s="22" t="n">
        <v>268509184</v>
      </c>
      <c r="C102" s="57" t="n">
        <v>32</v>
      </c>
      <c r="D102" s="49" t="n">
        <v>32</v>
      </c>
      <c r="E102" s="22" t="n">
        <v>268509216</v>
      </c>
      <c r="F102" s="19" t="inlineStr">
        <is>
          <t>ERR_STATUS</t>
        </is>
      </c>
      <c r="G102" s="58" t="inlineStr">
        <is>
          <t>R</t>
        </is>
      </c>
      <c r="H102" s="22" t="n"/>
      <c r="I102" s="24" t="n">
        <v>32</v>
      </c>
      <c r="J102" s="4" t="inlineStr">
        <is>
          <t>Proposed: bus error / out-of-range detail.</t>
        </is>
      </c>
      <c r="K102" s="4" t="inlineStr">
        <is>
          <t>DRAFT - this workbook (plan s13.2)</t>
        </is>
      </c>
      <c r="L102" s="42" t="inlineStr">
        <is>
          <t>DRAFT</t>
        </is>
      </c>
    </row>
    <row r="103">
      <c r="A103" s="61" t="n"/>
      <c r="B103" s="61" t="n"/>
      <c r="C103" s="61" t="n"/>
      <c r="D103" s="61" t="n"/>
      <c r="E103" s="61" t="n"/>
      <c r="F103" s="61" t="n"/>
      <c r="G103" s="61" t="n"/>
      <c r="H103" s="61" t="n"/>
      <c r="I103" s="61" t="n"/>
      <c r="J103" s="61" t="n"/>
      <c r="K103" s="61" t="n"/>
      <c r="L103" s="61" t="n"/>
    </row>
    <row r="104">
      <c r="A104" s="21" t="inlineStr">
        <is>
          <t>SHA-256 Accelerator  (DRAFT)</t>
        </is>
      </c>
      <c r="B104" s="22" t="n">
        <v>268517376</v>
      </c>
      <c r="C104" s="57" t="n">
        <v>0</v>
      </c>
      <c r="D104" s="49" t="n">
        <v>0</v>
      </c>
      <c r="E104" s="22" t="n">
        <v>268517376</v>
      </c>
      <c r="F104" s="19" t="inlineStr">
        <is>
          <t>CONTROL</t>
        </is>
      </c>
      <c r="G104" s="58" t="inlineStr">
        <is>
          <t>R/W</t>
        </is>
      </c>
      <c r="H104" s="22" t="n"/>
      <c r="I104" s="24" t="n">
        <v>32</v>
      </c>
      <c r="J104" s="4" t="inlineStr">
        <is>
          <t>Proposed: START, INIT. Register map is an explicit open item in plan s32.</t>
        </is>
      </c>
      <c r="K104" s="4" t="inlineStr">
        <is>
          <t>DRAFT - this workbook (plan s15.2)</t>
        </is>
      </c>
      <c r="L104" s="42" t="inlineStr">
        <is>
          <t>DRAFT</t>
        </is>
      </c>
    </row>
    <row r="105">
      <c r="A105" s="31" t="inlineStr">
        <is>
          <t>SHA-256 Accelerator  (DRAFT)</t>
        </is>
      </c>
      <c r="B105" s="33" t="n">
        <v>268517376</v>
      </c>
      <c r="C105" s="59" t="n">
        <v>4</v>
      </c>
      <c r="D105" s="53" t="n">
        <v>4</v>
      </c>
      <c r="E105" s="33" t="n">
        <v>268517380</v>
      </c>
      <c r="F105" s="29" t="inlineStr">
        <is>
          <t>STATUS</t>
        </is>
      </c>
      <c r="G105" s="60" t="inlineStr">
        <is>
          <t>R</t>
        </is>
      </c>
      <c r="H105" s="33" t="n"/>
      <c r="I105" s="35" t="n">
        <v>32</v>
      </c>
      <c r="J105" s="32" t="inlineStr">
        <is>
          <t>Proposed: BUSY, DONE, INIT_DONE.</t>
        </is>
      </c>
      <c r="K105" s="32" t="inlineStr">
        <is>
          <t>DRAFT - this workbook (plan s15.2)</t>
        </is>
      </c>
      <c r="L105" s="42" t="inlineStr">
        <is>
          <t>DRAFT</t>
        </is>
      </c>
    </row>
    <row r="106">
      <c r="A106" s="21" t="inlineStr">
        <is>
          <t>SHA-256 Accelerator  (DRAFT)</t>
        </is>
      </c>
      <c r="B106" s="22" t="n">
        <v>268517376</v>
      </c>
      <c r="C106" s="57" t="n">
        <v>8</v>
      </c>
      <c r="D106" s="49" t="n">
        <v>8</v>
      </c>
      <c r="E106" s="22" t="n">
        <v>268517384</v>
      </c>
      <c r="F106" s="19" t="inlineStr">
        <is>
          <t>MSG_LEN_LO</t>
        </is>
      </c>
      <c r="G106" s="58" t="inlineStr">
        <is>
          <t>R/W</t>
        </is>
      </c>
      <c r="H106" s="22" t="n"/>
      <c r="I106" s="24" t="n">
        <v>32</v>
      </c>
      <c r="J106" s="4" t="inlineStr">
        <is>
          <t>Proposed: message length in bits, bits [31:0].</t>
        </is>
      </c>
      <c r="K106" s="4" t="inlineStr">
        <is>
          <t>DRAFT - this workbook (plan s15.2)</t>
        </is>
      </c>
      <c r="L106" s="42" t="inlineStr">
        <is>
          <t>DRAFT</t>
        </is>
      </c>
    </row>
    <row r="107">
      <c r="A107" s="31" t="inlineStr">
        <is>
          <t>SHA-256 Accelerator  (DRAFT)</t>
        </is>
      </c>
      <c r="B107" s="33" t="n">
        <v>268517376</v>
      </c>
      <c r="C107" s="59" t="n">
        <v>12</v>
      </c>
      <c r="D107" s="53" t="n">
        <v>12</v>
      </c>
      <c r="E107" s="33" t="n">
        <v>268517388</v>
      </c>
      <c r="F107" s="29" t="inlineStr">
        <is>
          <t>MSG_LEN_HI</t>
        </is>
      </c>
      <c r="G107" s="60" t="inlineStr">
        <is>
          <t>R/W</t>
        </is>
      </c>
      <c r="H107" s="33" t="n"/>
      <c r="I107" s="35" t="n">
        <v>32</v>
      </c>
      <c r="J107" s="32" t="inlineStr">
        <is>
          <t>Proposed: message length in bits, bits [63:32]. SHA-256 needs the 64-bit length field.</t>
        </is>
      </c>
      <c r="K107" s="32" t="inlineStr">
        <is>
          <t>DRAFT - this workbook (plan s15.2)</t>
        </is>
      </c>
      <c r="L107" s="42" t="inlineStr">
        <is>
          <t>DRAFT</t>
        </is>
      </c>
    </row>
    <row r="108">
      <c r="A108" s="21" t="inlineStr">
        <is>
          <t>SHA-256 Accelerator  (DRAFT)</t>
        </is>
      </c>
      <c r="B108" s="22" t="n">
        <v>268517376</v>
      </c>
      <c r="C108" s="57" t="n">
        <v>16</v>
      </c>
      <c r="D108" s="49" t="n">
        <v>16</v>
      </c>
      <c r="E108" s="22" t="n">
        <v>268517392</v>
      </c>
      <c r="F108" s="19" t="inlineStr">
        <is>
          <t>DATA</t>
        </is>
      </c>
      <c r="G108" s="58" t="inlineStr">
        <is>
          <t>W</t>
        </is>
      </c>
      <c r="H108" s="22" t="n"/>
      <c r="I108" s="24" t="n">
        <v>32</v>
      </c>
      <c r="J108" s="4" t="inlineStr">
        <is>
          <t>Proposed: message input word port.</t>
        </is>
      </c>
      <c r="K108" s="4" t="inlineStr">
        <is>
          <t>DRAFT - this workbook (plan s15.2)</t>
        </is>
      </c>
      <c r="L108" s="42" t="inlineStr">
        <is>
          <t>DRAFT</t>
        </is>
      </c>
    </row>
    <row r="109">
      <c r="A109" s="31" t="inlineStr">
        <is>
          <t>SHA-256 Accelerator  (DRAFT)</t>
        </is>
      </c>
      <c r="B109" s="33" t="n">
        <v>268517376</v>
      </c>
      <c r="C109" s="59" t="n">
        <v>20</v>
      </c>
      <c r="D109" s="53" t="n">
        <v>20</v>
      </c>
      <c r="E109" s="33" t="n">
        <v>268517396</v>
      </c>
      <c r="F109" s="29" t="inlineStr">
        <is>
          <t>DIGEST0</t>
        </is>
      </c>
      <c r="G109" s="60" t="inlineStr">
        <is>
          <t>R</t>
        </is>
      </c>
      <c r="H109" s="33" t="n"/>
      <c r="I109" s="35" t="n">
        <v>32</v>
      </c>
      <c r="J109" s="32" t="inlineStr">
        <is>
          <t>Proposed: digest word 0. DIGEST0..DIGEST7 cover the full 256-bit digest.</t>
        </is>
      </c>
      <c r="K109" s="32" t="inlineStr">
        <is>
          <t>DRAFT - this workbook (plan s15.2)</t>
        </is>
      </c>
      <c r="L109" s="42" t="inlineStr">
        <is>
          <t>DRAFT</t>
        </is>
      </c>
    </row>
    <row r="110">
      <c r="A110" s="21" t="inlineStr">
        <is>
          <t>SHA-256 Accelerator  (DRAFT)</t>
        </is>
      </c>
      <c r="B110" s="22" t="n">
        <v>268517376</v>
      </c>
      <c r="C110" s="57" t="n">
        <v>24</v>
      </c>
      <c r="D110" s="49" t="n">
        <v>24</v>
      </c>
      <c r="E110" s="22" t="n">
        <v>268517400</v>
      </c>
      <c r="F110" s="19" t="inlineStr">
        <is>
          <t>DIGEST1</t>
        </is>
      </c>
      <c r="G110" s="58" t="inlineStr">
        <is>
          <t>R</t>
        </is>
      </c>
      <c r="H110" s="22" t="n"/>
      <c r="I110" s="24" t="n">
        <v>32</v>
      </c>
      <c r="J110" s="4" t="inlineStr">
        <is>
          <t>Proposed: digest word 1.</t>
        </is>
      </c>
      <c r="K110" s="4" t="inlineStr">
        <is>
          <t>DRAFT - this workbook (plan s15.2)</t>
        </is>
      </c>
      <c r="L110" s="42" t="inlineStr">
        <is>
          <t>DRAFT</t>
        </is>
      </c>
    </row>
    <row r="111">
      <c r="A111" s="31" t="inlineStr">
        <is>
          <t>SHA-256 Accelerator  (DRAFT)</t>
        </is>
      </c>
      <c r="B111" s="33" t="n">
        <v>268517376</v>
      </c>
      <c r="C111" s="59" t="n">
        <v>28</v>
      </c>
      <c r="D111" s="53" t="n">
        <v>28</v>
      </c>
      <c r="E111" s="33" t="n">
        <v>268517404</v>
      </c>
      <c r="F111" s="29" t="inlineStr">
        <is>
          <t>DIGEST2</t>
        </is>
      </c>
      <c r="G111" s="60" t="inlineStr">
        <is>
          <t>R</t>
        </is>
      </c>
      <c r="H111" s="33" t="n"/>
      <c r="I111" s="35" t="n">
        <v>32</v>
      </c>
      <c r="J111" s="32" t="inlineStr">
        <is>
          <t>Proposed: digest word 2.</t>
        </is>
      </c>
      <c r="K111" s="32" t="inlineStr">
        <is>
          <t>DRAFT - this workbook (plan s15.2)</t>
        </is>
      </c>
      <c r="L111" s="42" t="inlineStr">
        <is>
          <t>DRAFT</t>
        </is>
      </c>
    </row>
    <row r="112">
      <c r="A112" s="21" t="inlineStr">
        <is>
          <t>SHA-256 Accelerator  (DRAFT)</t>
        </is>
      </c>
      <c r="B112" s="22" t="n">
        <v>268517376</v>
      </c>
      <c r="C112" s="57" t="n">
        <v>32</v>
      </c>
      <c r="D112" s="49" t="n">
        <v>32</v>
      </c>
      <c r="E112" s="22" t="n">
        <v>268517408</v>
      </c>
      <c r="F112" s="19" t="inlineStr">
        <is>
          <t>DIGEST3</t>
        </is>
      </c>
      <c r="G112" s="58" t="inlineStr">
        <is>
          <t>R</t>
        </is>
      </c>
      <c r="H112" s="22" t="n"/>
      <c r="I112" s="24" t="n">
        <v>32</v>
      </c>
      <c r="J112" s="4" t="inlineStr">
        <is>
          <t>Proposed: digest word 3.</t>
        </is>
      </c>
      <c r="K112" s="4" t="inlineStr">
        <is>
          <t>DRAFT - this workbook (plan s15.2)</t>
        </is>
      </c>
      <c r="L112" s="42" t="inlineStr">
        <is>
          <t>DRAFT</t>
        </is>
      </c>
    </row>
    <row r="113">
      <c r="A113" s="31" t="inlineStr">
        <is>
          <t>SHA-256 Accelerator  (DRAFT)</t>
        </is>
      </c>
      <c r="B113" s="33" t="n">
        <v>268517376</v>
      </c>
      <c r="C113" s="59" t="n">
        <v>36</v>
      </c>
      <c r="D113" s="53" t="n">
        <v>36</v>
      </c>
      <c r="E113" s="33" t="n">
        <v>268517412</v>
      </c>
      <c r="F113" s="29" t="inlineStr">
        <is>
          <t>DIGEST4</t>
        </is>
      </c>
      <c r="G113" s="60" t="inlineStr">
        <is>
          <t>R</t>
        </is>
      </c>
      <c r="H113" s="33" t="n"/>
      <c r="I113" s="35" t="n">
        <v>32</v>
      </c>
      <c r="J113" s="32" t="inlineStr">
        <is>
          <t>Proposed: digest word 4.</t>
        </is>
      </c>
      <c r="K113" s="32" t="inlineStr">
        <is>
          <t>DRAFT - this workbook (plan s15.2)</t>
        </is>
      </c>
      <c r="L113" s="42" t="inlineStr">
        <is>
          <t>DRAFT</t>
        </is>
      </c>
    </row>
    <row r="114">
      <c r="A114" s="21" t="inlineStr">
        <is>
          <t>SHA-256 Accelerator  (DRAFT)</t>
        </is>
      </c>
      <c r="B114" s="22" t="n">
        <v>268517376</v>
      </c>
      <c r="C114" s="57" t="n">
        <v>40</v>
      </c>
      <c r="D114" s="49" t="n">
        <v>40</v>
      </c>
      <c r="E114" s="22" t="n">
        <v>268517416</v>
      </c>
      <c r="F114" s="19" t="inlineStr">
        <is>
          <t>DIGEST5</t>
        </is>
      </c>
      <c r="G114" s="58" t="inlineStr">
        <is>
          <t>R</t>
        </is>
      </c>
      <c r="H114" s="22" t="n"/>
      <c r="I114" s="24" t="n">
        <v>32</v>
      </c>
      <c r="J114" s="4" t="inlineStr">
        <is>
          <t>Proposed: digest word 5.</t>
        </is>
      </c>
      <c r="K114" s="4" t="inlineStr">
        <is>
          <t>DRAFT - this workbook (plan s15.2)</t>
        </is>
      </c>
      <c r="L114" s="42" t="inlineStr">
        <is>
          <t>DRAFT</t>
        </is>
      </c>
    </row>
    <row r="115">
      <c r="A115" s="31" t="inlineStr">
        <is>
          <t>SHA-256 Accelerator  (DRAFT)</t>
        </is>
      </c>
      <c r="B115" s="33" t="n">
        <v>268517376</v>
      </c>
      <c r="C115" s="59" t="n">
        <v>44</v>
      </c>
      <c r="D115" s="53" t="n">
        <v>44</v>
      </c>
      <c r="E115" s="33" t="n">
        <v>268517420</v>
      </c>
      <c r="F115" s="29" t="inlineStr">
        <is>
          <t>DIGEST6</t>
        </is>
      </c>
      <c r="G115" s="60" t="inlineStr">
        <is>
          <t>R</t>
        </is>
      </c>
      <c r="H115" s="33" t="n"/>
      <c r="I115" s="35" t="n">
        <v>32</v>
      </c>
      <c r="J115" s="32" t="inlineStr">
        <is>
          <t>Proposed: digest word 6.</t>
        </is>
      </c>
      <c r="K115" s="32" t="inlineStr">
        <is>
          <t>DRAFT - this workbook (plan s15.2)</t>
        </is>
      </c>
      <c r="L115" s="42" t="inlineStr">
        <is>
          <t>DRAFT</t>
        </is>
      </c>
    </row>
    <row r="116">
      <c r="A116" s="21" t="inlineStr">
        <is>
          <t>SHA-256 Accelerator  (DRAFT)</t>
        </is>
      </c>
      <c r="B116" s="22" t="n">
        <v>268517376</v>
      </c>
      <c r="C116" s="57" t="n">
        <v>48</v>
      </c>
      <c r="D116" s="49" t="n">
        <v>48</v>
      </c>
      <c r="E116" s="22" t="n">
        <v>268517424</v>
      </c>
      <c r="F116" s="19" t="inlineStr">
        <is>
          <t>DIGEST7</t>
        </is>
      </c>
      <c r="G116" s="58" t="inlineStr">
        <is>
          <t>R</t>
        </is>
      </c>
      <c r="H116" s="22" t="n"/>
      <c r="I116" s="24" t="n">
        <v>32</v>
      </c>
      <c r="J116" s="4" t="inlineStr">
        <is>
          <t>Proposed: digest word 7.</t>
        </is>
      </c>
      <c r="K116" s="4" t="inlineStr">
        <is>
          <t>DRAFT - this workbook (plan s15.2)</t>
        </is>
      </c>
      <c r="L116" s="42" t="inlineStr">
        <is>
          <t>DRAFT</t>
        </is>
      </c>
    </row>
    <row r="117">
      <c r="A117" s="31" t="inlineStr">
        <is>
          <t>SHA-256 Accelerator  (DRAFT)</t>
        </is>
      </c>
      <c r="B117" s="33" t="n">
        <v>268517376</v>
      </c>
      <c r="C117" s="59" t="n">
        <v>52</v>
      </c>
      <c r="D117" s="53" t="n">
        <v>52</v>
      </c>
      <c r="E117" s="33" t="n">
        <v>268517428</v>
      </c>
      <c r="F117" s="29" t="inlineStr">
        <is>
          <t>IRQ_STATUS</t>
        </is>
      </c>
      <c r="G117" s="60" t="inlineStr">
        <is>
          <t>R/W1C</t>
        </is>
      </c>
      <c r="H117" s="33" t="n"/>
      <c r="I117" s="35" t="n">
        <v>32</v>
      </c>
      <c r="J117" s="32" t="inlineStr">
        <is>
          <t>Proposed: DONE. Write 1 to clear.</t>
        </is>
      </c>
      <c r="K117" s="32" t="inlineStr">
        <is>
          <t>DRAFT - this workbook (plan s15.2)</t>
        </is>
      </c>
      <c r="L117" s="42" t="inlineStr">
        <is>
          <t>DRAFT</t>
        </is>
      </c>
    </row>
    <row r="118">
      <c r="A118" s="21" t="inlineStr">
        <is>
          <t>SHA-256 Accelerator  (DRAFT)</t>
        </is>
      </c>
      <c r="B118" s="22" t="n">
        <v>268517376</v>
      </c>
      <c r="C118" s="57" t="n">
        <v>56</v>
      </c>
      <c r="D118" s="49" t="n">
        <v>56</v>
      </c>
      <c r="E118" s="22" t="n">
        <v>268517432</v>
      </c>
      <c r="F118" s="19" t="inlineStr">
        <is>
          <t>IRQ_ENABLE</t>
        </is>
      </c>
      <c r="G118" s="58" t="inlineStr">
        <is>
          <t>R/W</t>
        </is>
      </c>
      <c r="H118" s="22" t="n"/>
      <c r="I118" s="24" t="n">
        <v>32</v>
      </c>
      <c r="J118" s="4" t="inlineStr">
        <is>
          <t>Proposed: completion interrupt enable.</t>
        </is>
      </c>
      <c r="K118" s="4" t="inlineStr">
        <is>
          <t>DRAFT - this workbook (plan s15.2)</t>
        </is>
      </c>
      <c r="L118" s="42" t="inlineStr">
        <is>
          <t>DRAFT</t>
        </is>
      </c>
    </row>
    <row r="119">
      <c r="A119" s="61" t="n"/>
      <c r="B119" s="61" t="n"/>
      <c r="C119" s="61" t="n"/>
      <c r="D119" s="61" t="n"/>
      <c r="E119" s="61" t="n"/>
      <c r="F119" s="61" t="n"/>
      <c r="G119" s="61" t="n"/>
      <c r="H119" s="61" t="n"/>
      <c r="I119" s="61" t="n"/>
      <c r="J119" s="61" t="n"/>
      <c r="K119" s="61" t="n"/>
      <c r="L119" s="61" t="n"/>
    </row>
    <row r="120">
      <c r="A120" s="21" t="inlineStr">
        <is>
          <t>Packet Parser / Classifier  (DRAFT)</t>
        </is>
      </c>
      <c r="B120" s="22" t="n">
        <v>268525568</v>
      </c>
      <c r="C120" s="57" t="n">
        <v>0</v>
      </c>
      <c r="D120" s="49" t="n">
        <v>0</v>
      </c>
      <c r="E120" s="22" t="n">
        <v>268525568</v>
      </c>
      <c r="F120" s="19" t="inlineStr">
        <is>
          <t>CONTROL</t>
        </is>
      </c>
      <c r="G120" s="58" t="inlineStr">
        <is>
          <t>R/W</t>
        </is>
      </c>
      <c r="H120" s="22" t="n"/>
      <c r="I120" s="24" t="n">
        <v>32</v>
      </c>
      <c r="J120" s="4" t="inlineStr">
        <is>
          <t>Proposed: ENABLE, PARSE_MODE (Ethernet II / +IPv4 / +IPv4+UDP). Scope must be frozen.</t>
        </is>
      </c>
      <c r="K120" s="4" t="inlineStr">
        <is>
          <t>DRAFT - this workbook (plan s10.2 / s10.3)</t>
        </is>
      </c>
      <c r="L120" s="42" t="inlineStr">
        <is>
          <t>DRAFT</t>
        </is>
      </c>
    </row>
    <row r="121">
      <c r="A121" s="31" t="inlineStr">
        <is>
          <t>Packet Parser / Classifier  (DRAFT)</t>
        </is>
      </c>
      <c r="B121" s="33" t="n">
        <v>268525568</v>
      </c>
      <c r="C121" s="59" t="n">
        <v>4</v>
      </c>
      <c r="D121" s="53" t="n">
        <v>4</v>
      </c>
      <c r="E121" s="33" t="n">
        <v>268525572</v>
      </c>
      <c r="F121" s="29" t="inlineStr">
        <is>
          <t>STATUS</t>
        </is>
      </c>
      <c r="G121" s="60" t="inlineStr">
        <is>
          <t>R</t>
        </is>
      </c>
      <c r="H121" s="33" t="n"/>
      <c r="I121" s="35" t="n">
        <v>32</v>
      </c>
      <c r="J121" s="32" t="inlineStr">
        <is>
          <t>Proposed: BUSY, DONE, PARSE_ERROR.</t>
        </is>
      </c>
      <c r="K121" s="32" t="inlineStr">
        <is>
          <t>DRAFT - this workbook (plan s10.2 / s10.3)</t>
        </is>
      </c>
      <c r="L121" s="42" t="inlineStr">
        <is>
          <t>DRAFT</t>
        </is>
      </c>
    </row>
    <row r="122">
      <c r="A122" s="21" t="inlineStr">
        <is>
          <t>Packet Parser / Classifier  (DRAFT)</t>
        </is>
      </c>
      <c r="B122" s="22" t="n">
        <v>268525568</v>
      </c>
      <c r="C122" s="57" t="n">
        <v>8</v>
      </c>
      <c r="D122" s="49" t="n">
        <v>8</v>
      </c>
      <c r="E122" s="22" t="n">
        <v>268525576</v>
      </c>
      <c r="F122" s="19" t="inlineStr">
        <is>
          <t>ETHERTYPE</t>
        </is>
      </c>
      <c r="G122" s="58" t="inlineStr">
        <is>
          <t>R</t>
        </is>
      </c>
      <c r="H122" s="22" t="n"/>
      <c r="I122" s="24" t="n">
        <v>32</v>
      </c>
      <c r="J122" s="4" t="inlineStr">
        <is>
          <t>Proposed: EtherType of the last parsed frame.</t>
        </is>
      </c>
      <c r="K122" s="4" t="inlineStr">
        <is>
          <t>DRAFT - this workbook (plan s10.2 / s10.3)</t>
        </is>
      </c>
      <c r="L122" s="42" t="inlineStr">
        <is>
          <t>DRAFT</t>
        </is>
      </c>
    </row>
    <row r="123">
      <c r="A123" s="31" t="inlineStr">
        <is>
          <t>Packet Parser / Classifier  (DRAFT)</t>
        </is>
      </c>
      <c r="B123" s="33" t="n">
        <v>268525568</v>
      </c>
      <c r="C123" s="59" t="n">
        <v>12</v>
      </c>
      <c r="D123" s="53" t="n">
        <v>12</v>
      </c>
      <c r="E123" s="33" t="n">
        <v>268525580</v>
      </c>
      <c r="F123" s="29" t="inlineStr">
        <is>
          <t>FRAME_LEN</t>
        </is>
      </c>
      <c r="G123" s="60" t="inlineStr">
        <is>
          <t>R</t>
        </is>
      </c>
      <c r="H123" s="33" t="n"/>
      <c r="I123" s="35" t="n">
        <v>32</v>
      </c>
      <c r="J123" s="32" t="inlineStr">
        <is>
          <t>Proposed: frame length.</t>
        </is>
      </c>
      <c r="K123" s="32" t="inlineStr">
        <is>
          <t>DRAFT - this workbook (plan s10.2 / s10.3)</t>
        </is>
      </c>
      <c r="L123" s="42" t="inlineStr">
        <is>
          <t>DRAFT</t>
        </is>
      </c>
    </row>
    <row r="124">
      <c r="A124" s="21" t="inlineStr">
        <is>
          <t>Packet Parser / Classifier  (DRAFT)</t>
        </is>
      </c>
      <c r="B124" s="22" t="n">
        <v>268525568</v>
      </c>
      <c r="C124" s="57" t="n">
        <v>16</v>
      </c>
      <c r="D124" s="49" t="n">
        <v>16</v>
      </c>
      <c r="E124" s="22" t="n">
        <v>268525584</v>
      </c>
      <c r="F124" s="19" t="inlineStr">
        <is>
          <t>SRC_IP</t>
        </is>
      </c>
      <c r="G124" s="58" t="inlineStr">
        <is>
          <t>R</t>
        </is>
      </c>
      <c r="H124" s="22" t="n"/>
      <c r="I124" s="24" t="n">
        <v>32</v>
      </c>
      <c r="J124" s="4" t="inlineStr">
        <is>
          <t>Proposed: source IPv4 address. Zero in the Ethernet II baseline.</t>
        </is>
      </c>
      <c r="K124" s="4" t="inlineStr">
        <is>
          <t>DRAFT - this workbook (plan s10.2 / s10.3)</t>
        </is>
      </c>
      <c r="L124" s="42" t="inlineStr">
        <is>
          <t>DRAFT</t>
        </is>
      </c>
    </row>
    <row r="125">
      <c r="A125" s="31" t="inlineStr">
        <is>
          <t>Packet Parser / Classifier  (DRAFT)</t>
        </is>
      </c>
      <c r="B125" s="33" t="n">
        <v>268525568</v>
      </c>
      <c r="C125" s="59" t="n">
        <v>20</v>
      </c>
      <c r="D125" s="53" t="n">
        <v>20</v>
      </c>
      <c r="E125" s="33" t="n">
        <v>268525588</v>
      </c>
      <c r="F125" s="29" t="inlineStr">
        <is>
          <t>DST_IP</t>
        </is>
      </c>
      <c r="G125" s="60" t="inlineStr">
        <is>
          <t>R</t>
        </is>
      </c>
      <c r="H125" s="33" t="n"/>
      <c r="I125" s="35" t="n">
        <v>32</v>
      </c>
      <c r="J125" s="32" t="inlineStr">
        <is>
          <t>Proposed: destination IPv4 address. Zero in the Ethernet II baseline.</t>
        </is>
      </c>
      <c r="K125" s="32" t="inlineStr">
        <is>
          <t>DRAFT - this workbook (plan s10.2 / s10.3)</t>
        </is>
      </c>
      <c r="L125" s="42" t="inlineStr">
        <is>
          <t>DRAFT</t>
        </is>
      </c>
    </row>
    <row r="126">
      <c r="A126" s="21" t="inlineStr">
        <is>
          <t>Packet Parser / Classifier  (DRAFT)</t>
        </is>
      </c>
      <c r="B126" s="22" t="n">
        <v>268525568</v>
      </c>
      <c r="C126" s="57" t="n">
        <v>24</v>
      </c>
      <c r="D126" s="49" t="n">
        <v>24</v>
      </c>
      <c r="E126" s="22" t="n">
        <v>268525592</v>
      </c>
      <c r="F126" s="19" t="inlineStr">
        <is>
          <t>PROTOCOL</t>
        </is>
      </c>
      <c r="G126" s="58" t="inlineStr">
        <is>
          <t>R</t>
        </is>
      </c>
      <c r="H126" s="22" t="n"/>
      <c r="I126" s="24" t="n">
        <v>32</v>
      </c>
      <c r="J126" s="4" t="inlineStr">
        <is>
          <t>Proposed: IP protocol field.</t>
        </is>
      </c>
      <c r="K126" s="4" t="inlineStr">
        <is>
          <t>DRAFT - this workbook (plan s10.2 / s10.3)</t>
        </is>
      </c>
      <c r="L126" s="42" t="inlineStr">
        <is>
          <t>DRAFT</t>
        </is>
      </c>
    </row>
    <row r="127">
      <c r="A127" s="31" t="inlineStr">
        <is>
          <t>Packet Parser / Classifier  (DRAFT)</t>
        </is>
      </c>
      <c r="B127" s="33" t="n">
        <v>268525568</v>
      </c>
      <c r="C127" s="59" t="n">
        <v>28</v>
      </c>
      <c r="D127" s="53" t="n">
        <v>28</v>
      </c>
      <c r="E127" s="33" t="n">
        <v>268525596</v>
      </c>
      <c r="F127" s="29" t="inlineStr">
        <is>
          <t>SRC_PORT</t>
        </is>
      </c>
      <c r="G127" s="60" t="inlineStr">
        <is>
          <t>R</t>
        </is>
      </c>
      <c r="H127" s="33" t="n"/>
      <c r="I127" s="35" t="n">
        <v>32</v>
      </c>
      <c r="J127" s="32" t="inlineStr">
        <is>
          <t>Proposed: source UDP/TCP port.</t>
        </is>
      </c>
      <c r="K127" s="32" t="inlineStr">
        <is>
          <t>DRAFT - this workbook (plan s10.2 / s10.3)</t>
        </is>
      </c>
      <c r="L127" s="42" t="inlineStr">
        <is>
          <t>DRAFT</t>
        </is>
      </c>
    </row>
    <row r="128">
      <c r="A128" s="21" t="inlineStr">
        <is>
          <t>Packet Parser / Classifier  (DRAFT)</t>
        </is>
      </c>
      <c r="B128" s="22" t="n">
        <v>268525568</v>
      </c>
      <c r="C128" s="57" t="n">
        <v>32</v>
      </c>
      <c r="D128" s="49" t="n">
        <v>32</v>
      </c>
      <c r="E128" s="22" t="n">
        <v>268525600</v>
      </c>
      <c r="F128" s="19" t="inlineStr">
        <is>
          <t>DST_PORT</t>
        </is>
      </c>
      <c r="G128" s="58" t="inlineStr">
        <is>
          <t>R</t>
        </is>
      </c>
      <c r="H128" s="22" t="n"/>
      <c r="I128" s="24" t="n">
        <v>32</v>
      </c>
      <c r="J128" s="4" t="inlineStr">
        <is>
          <t>Proposed: destination UDP/TCP port.</t>
        </is>
      </c>
      <c r="K128" s="4" t="inlineStr">
        <is>
          <t>DRAFT - this workbook (plan s10.2 / s10.3)</t>
        </is>
      </c>
      <c r="L128" s="42" t="inlineStr">
        <is>
          <t>DRAFT</t>
        </is>
      </c>
    </row>
    <row r="129">
      <c r="A129" s="31" t="inlineStr">
        <is>
          <t>Packet Parser / Classifier  (DRAFT)</t>
        </is>
      </c>
      <c r="B129" s="33" t="n">
        <v>268525568</v>
      </c>
      <c r="C129" s="59" t="n">
        <v>36</v>
      </c>
      <c r="D129" s="53" t="n">
        <v>36</v>
      </c>
      <c r="E129" s="33" t="n">
        <v>268525604</v>
      </c>
      <c r="F129" s="29" t="inlineStr">
        <is>
          <t>TRAFFIC_CLASS</t>
        </is>
      </c>
      <c r="G129" s="60" t="inlineStr">
        <is>
          <t>R</t>
        </is>
      </c>
      <c r="H129" s="33" t="n"/>
      <c r="I129" s="35" t="n">
        <v>32</v>
      </c>
      <c r="J129" s="32" t="inlineStr">
        <is>
          <t>Proposed: classification result. Keep the rule mechanism small and deterministic.</t>
        </is>
      </c>
      <c r="K129" s="32" t="inlineStr">
        <is>
          <t>DRAFT - this workbook (plan s10.2 / s10.3)</t>
        </is>
      </c>
      <c r="L129" s="42" t="inlineStr">
        <is>
          <t>DRAFT</t>
        </is>
      </c>
    </row>
    <row r="130">
      <c r="A130" s="21" t="inlineStr">
        <is>
          <t>Packet Parser / Classifier  (DRAFT)</t>
        </is>
      </c>
      <c r="B130" s="22" t="n">
        <v>268525568</v>
      </c>
      <c r="C130" s="57" t="n">
        <v>40</v>
      </c>
      <c r="D130" s="49" t="n">
        <v>40</v>
      </c>
      <c r="E130" s="22" t="n">
        <v>268525608</v>
      </c>
      <c r="F130" s="19" t="inlineStr">
        <is>
          <t>RULE_MASK</t>
        </is>
      </c>
      <c r="G130" s="58" t="inlineStr">
        <is>
          <t>R/W</t>
        </is>
      </c>
      <c r="H130" s="22" t="n"/>
      <c r="I130" s="24" t="n">
        <v>32</v>
      </c>
      <c r="J130" s="4" t="inlineStr">
        <is>
          <t>Proposed: rule match mask.</t>
        </is>
      </c>
      <c r="K130" s="4" t="inlineStr">
        <is>
          <t>DRAFT - this workbook (plan s10.2 / s10.3)</t>
        </is>
      </c>
      <c r="L130" s="42" t="inlineStr">
        <is>
          <t>DRAFT</t>
        </is>
      </c>
    </row>
    <row r="131">
      <c r="A131" s="31" t="inlineStr">
        <is>
          <t>Packet Parser / Classifier  (DRAFT)</t>
        </is>
      </c>
      <c r="B131" s="33" t="n">
        <v>268525568</v>
      </c>
      <c r="C131" s="59" t="n">
        <v>44</v>
      </c>
      <c r="D131" s="53" t="n">
        <v>44</v>
      </c>
      <c r="E131" s="33" t="n">
        <v>268525612</v>
      </c>
      <c r="F131" s="29" t="inlineStr">
        <is>
          <t>MATCH_COUNT</t>
        </is>
      </c>
      <c r="G131" s="60" t="inlineStr">
        <is>
          <t>R</t>
        </is>
      </c>
      <c r="H131" s="33" t="n"/>
      <c r="I131" s="35" t="n">
        <v>32</v>
      </c>
      <c r="J131" s="32" t="inlineStr">
        <is>
          <t>Proposed: frames matching the active rule.</t>
        </is>
      </c>
      <c r="K131" s="32" t="inlineStr">
        <is>
          <t>DRAFT - this workbook (plan s10.2 / s10.3)</t>
        </is>
      </c>
      <c r="L131" s="42" t="inlineStr">
        <is>
          <t>DRAFT</t>
        </is>
      </c>
    </row>
    <row r="132">
      <c r="A132" s="21" t="inlineStr">
        <is>
          <t>Packet Parser / Classifier  (DRAFT)</t>
        </is>
      </c>
      <c r="B132" s="22" t="n">
        <v>268525568</v>
      </c>
      <c r="C132" s="57" t="n">
        <v>48</v>
      </c>
      <c r="D132" s="49" t="n">
        <v>48</v>
      </c>
      <c r="E132" s="22" t="n">
        <v>268525616</v>
      </c>
      <c r="F132" s="19" t="inlineStr">
        <is>
          <t>IRQ_STATUS</t>
        </is>
      </c>
      <c r="G132" s="58" t="inlineStr">
        <is>
          <t>R/W1C</t>
        </is>
      </c>
      <c r="H132" s="22" t="n"/>
      <c r="I132" s="24" t="n">
        <v>32</v>
      </c>
      <c r="J132" s="4" t="inlineStr">
        <is>
          <t>Proposed: FRAME_PARSED. Write 1 to clear.</t>
        </is>
      </c>
      <c r="K132" s="4" t="inlineStr">
        <is>
          <t>DRAFT - this workbook (plan s10.2 / s10.3)</t>
        </is>
      </c>
      <c r="L132" s="42" t="inlineStr">
        <is>
          <t>DRAFT</t>
        </is>
      </c>
    </row>
    <row r="133">
      <c r="A133" s="31" t="inlineStr">
        <is>
          <t>Packet Parser / Classifier  (DRAFT)</t>
        </is>
      </c>
      <c r="B133" s="33" t="n">
        <v>268525568</v>
      </c>
      <c r="C133" s="59" t="n">
        <v>52</v>
      </c>
      <c r="D133" s="53" t="n">
        <v>52</v>
      </c>
      <c r="E133" s="33" t="n">
        <v>268525620</v>
      </c>
      <c r="F133" s="29" t="inlineStr">
        <is>
          <t>IRQ_ENABLE</t>
        </is>
      </c>
      <c r="G133" s="60" t="inlineStr">
        <is>
          <t>R/W</t>
        </is>
      </c>
      <c r="H133" s="33" t="n"/>
      <c r="I133" s="35" t="n">
        <v>32</v>
      </c>
      <c r="J133" s="32" t="inlineStr">
        <is>
          <t>Proposed: interrupt enable.</t>
        </is>
      </c>
      <c r="K133" s="32" t="inlineStr">
        <is>
          <t>DRAFT - this workbook (plan s10.2 / s10.3)</t>
        </is>
      </c>
      <c r="L133" s="42" t="inlineStr">
        <is>
          <t>DRAFT</t>
        </is>
      </c>
    </row>
    <row r="134">
      <c r="A134" s="61" t="n"/>
      <c r="B134" s="61" t="n"/>
      <c r="C134" s="61" t="n"/>
      <c r="D134" s="61" t="n"/>
      <c r="E134" s="61" t="n"/>
      <c r="F134" s="61" t="n"/>
      <c r="G134" s="61" t="n"/>
      <c r="H134" s="61" t="n"/>
      <c r="I134" s="61" t="n"/>
      <c r="J134" s="61" t="n"/>
      <c r="K134" s="61" t="n"/>
      <c r="L134" s="61" t="n"/>
    </row>
  </sheetData>
  <autoFilter ref="A4:L134"/>
  <mergeCells count="2">
    <mergeCell ref="A1:L1"/>
    <mergeCell ref="A2:L2"/>
  </mergeCells>
  <printOptions horizontalCentered="1"/>
  <pageMargins bottom="0.4" footer="0.5" header="0.5" left="0.3" right="0.3" top="0.4"/>
  <pageSetup fitToHeight="0" fitToWidth="1" orientation="landscape"/>
  <headerFooter>
    <oddHeader/>
    <oddFooter>&amp;C&amp;8 &amp;A  |  Rev B (Re-pitched MMIO aperture, draft for Architecture Freeze)  |  Page &amp;P of &amp;N</oddFooter>
    <evenHeader/>
    <evenFooter/>
    <firstHeader/>
    <firstFooter/>
  </headerFooter>
</worksheet>
</file>

<file path=xl/worksheets/sheet5.xml><?xml version="1.0" encoding="utf-8"?>
<worksheet xmlns="http://schemas.openxmlformats.org/spreadsheetml/2006/main">
  <sheetPr>
    <tabColor rgb="00375623"/>
    <outlinePr summaryBelow="1" summaryRight="1"/>
    <pageSetUpPr fitToPage="1"/>
  </sheetPr>
  <dimension ref="A1:J32"/>
  <sheetViews>
    <sheetView showGridLines="0" workbookViewId="0">
      <pane activePane="bottomRight" state="frozen" topLeftCell="C5" xSplit="2" ySplit="4"/>
      <selection pane="topRight"/>
      <selection pane="bottomLeft"/>
      <selection activeCell="A1" pane="bottomRight" sqref="A1"/>
    </sheetView>
  </sheetViews>
  <sheetFormatPr baseColWidth="8" defaultRowHeight="15"/>
  <cols>
    <col customWidth="1" max="1" min="1" width="24"/>
    <col customWidth="1" max="2" min="2" width="14"/>
    <col customWidth="1" max="3" min="3" width="16"/>
    <col customWidth="1" max="4" min="4" width="20"/>
    <col customWidth="1" max="5" min="5" width="11"/>
    <col customWidth="1" max="6" min="6" width="20"/>
    <col customWidth="1" max="7" min="7" width="9"/>
    <col customWidth="1" max="8" min="8" width="18"/>
    <col customWidth="1" max="9" min="9" width="13"/>
    <col customWidth="1" max="10" min="10" width="62"/>
  </cols>
  <sheetData>
    <row customHeight="1" ht="22" r="1">
      <c r="A1" s="15" t="inlineStr">
        <is>
          <t>4. Register Bit Definitions</t>
        </is>
      </c>
    </row>
    <row customHeight="1" ht="40" r="2">
      <c r="A2" s="16" t="inlineStr">
        <is>
          <t>Field-level definitions for blocks that already have implemented RTL, plus the semantics the specification pins down for blocks that do not. Where v3 explicitly defers bit allocation, that is stated rather than guessed. Absolute addresses follow the Rev B bases.</t>
        </is>
      </c>
      <c r="B2" s="17" t="n"/>
      <c r="C2" s="17" t="n"/>
      <c r="D2" s="17" t="n"/>
      <c r="E2" s="17" t="n"/>
      <c r="F2" s="17" t="n"/>
      <c r="G2" s="17" t="n"/>
      <c r="H2" s="17" t="n"/>
      <c r="I2" s="17" t="n"/>
      <c r="J2" s="17" t="n"/>
    </row>
    <row customHeight="1" ht="34" r="4">
      <c r="A4" s="18" t="inlineStr">
        <is>
          <t>Block</t>
        </is>
      </c>
      <c r="B4" s="18" t="inlineStr">
        <is>
          <t>Window Base</t>
        </is>
      </c>
      <c r="C4" s="18" t="inlineStr">
        <is>
          <t>Absolute Address</t>
        </is>
      </c>
      <c r="D4" s="18" t="inlineStr">
        <is>
          <t>Register</t>
        </is>
      </c>
      <c r="E4" s="18" t="inlineStr">
        <is>
          <t>Bit Range</t>
        </is>
      </c>
      <c r="F4" s="18" t="inlineStr">
        <is>
          <t>Field Name</t>
        </is>
      </c>
      <c r="G4" s="18" t="inlineStr">
        <is>
          <t>Access</t>
        </is>
      </c>
      <c r="H4" s="18" t="inlineStr">
        <is>
          <t>Type</t>
        </is>
      </c>
      <c r="I4" s="18" t="inlineStr">
        <is>
          <t>Reset Value</t>
        </is>
      </c>
      <c r="J4" s="18" t="inlineStr">
        <is>
          <t>Description / Semantics</t>
        </is>
      </c>
    </row>
    <row customHeight="1" ht="30" r="5">
      <c r="A5" s="21" t="inlineStr">
        <is>
          <t>AES-128</t>
        </is>
      </c>
      <c r="B5" s="22" t="n">
        <v>268468224</v>
      </c>
      <c r="C5" s="22" t="n">
        <v>268468224</v>
      </c>
      <c r="D5" s="19" t="inlineStr">
        <is>
          <t>CONTROL</t>
        </is>
      </c>
      <c r="E5" s="25" t="inlineStr">
        <is>
          <t>[0]</t>
        </is>
      </c>
      <c r="F5" s="19" t="inlineStr">
        <is>
          <t>START</t>
        </is>
      </c>
      <c r="G5" s="58" t="inlineStr">
        <is>
          <t>W</t>
        </is>
      </c>
      <c r="H5" s="4" t="inlineStr">
        <is>
          <t>self-clearing pulse</t>
        </is>
      </c>
      <c r="I5" s="22" t="n">
        <v>0</v>
      </c>
      <c r="J5" s="4" t="inlineStr">
        <is>
          <t>Writing 1 while STATUS.BUSY=0 asserts a one-cycle aes_ld into the AES core, sets BUSY, clears DONE and clears the internal irq_reg. Ignored while BUSY=1.</t>
        </is>
      </c>
    </row>
    <row customHeight="1" ht="30" r="6">
      <c r="A6" s="31" t="inlineStr">
        <is>
          <t>AES-128</t>
        </is>
      </c>
      <c r="B6" s="33" t="n">
        <v>268468224</v>
      </c>
      <c r="C6" s="33" t="n">
        <v>268468224</v>
      </c>
      <c r="D6" s="29" t="inlineStr">
        <is>
          <t>CONTROL</t>
        </is>
      </c>
      <c r="E6" s="36" t="inlineStr">
        <is>
          <t>[1]</t>
        </is>
      </c>
      <c r="F6" s="29" t="inlineStr">
        <is>
          <t>CLEAR_DONE_IRQ</t>
        </is>
      </c>
      <c r="G6" s="60" t="inlineStr">
        <is>
          <t>W</t>
        </is>
      </c>
      <c r="H6" s="32" t="inlineStr">
        <is>
          <t>self-clearing pulse</t>
        </is>
      </c>
      <c r="I6" s="33" t="n">
        <v>0</v>
      </c>
      <c r="J6" s="32" t="inlineStr">
        <is>
          <t>Writing 1 clears done_reg and irq_reg. Software must clear this before the next job so the completion interrupt is re-armed.</t>
        </is>
      </c>
    </row>
    <row customHeight="1" ht="30" r="7">
      <c r="A7" s="21" t="inlineStr">
        <is>
          <t>AES-128</t>
        </is>
      </c>
      <c r="B7" s="22" t="n">
        <v>268468224</v>
      </c>
      <c r="C7" s="22" t="n">
        <v>268468224</v>
      </c>
      <c r="D7" s="19" t="inlineStr">
        <is>
          <t>CONTROL</t>
        </is>
      </c>
      <c r="E7" s="25" t="inlineStr">
        <is>
          <t>[31:2]</t>
        </is>
      </c>
      <c r="F7" s="19" t="inlineStr">
        <is>
          <t>(reserved)</t>
        </is>
      </c>
      <c r="G7" s="58" t="inlineStr">
        <is>
          <t>R</t>
        </is>
      </c>
      <c r="H7" s="4" t="inlineStr">
        <is>
          <t>constant</t>
        </is>
      </c>
      <c r="I7" s="22" t="n">
        <v>0</v>
      </c>
      <c r="J7" s="4" t="inlineStr">
        <is>
          <t>Reads zero. No effect on write.</t>
        </is>
      </c>
    </row>
    <row customHeight="1" ht="30" r="8">
      <c r="A8" s="31" t="inlineStr">
        <is>
          <t>AES-128</t>
        </is>
      </c>
      <c r="B8" s="33" t="n">
        <v>268468224</v>
      </c>
      <c r="C8" s="33" t="n">
        <v>268468228</v>
      </c>
      <c r="D8" s="29" t="inlineStr">
        <is>
          <t>STATUS</t>
        </is>
      </c>
      <c r="E8" s="36" t="inlineStr">
        <is>
          <t>[0]</t>
        </is>
      </c>
      <c r="F8" s="29" t="inlineStr">
        <is>
          <t>BUSY</t>
        </is>
      </c>
      <c r="G8" s="60" t="inlineStr">
        <is>
          <t>R</t>
        </is>
      </c>
      <c r="H8" s="32" t="inlineStr">
        <is>
          <t>status bit</t>
        </is>
      </c>
      <c r="I8" s="33" t="inlineStr">
        <is>
          <t>n/a</t>
        </is>
      </c>
      <c r="J8" s="32" t="inlineStr">
        <is>
          <t>0 = idle or complete, 1 = core is encrypting. Set on an accepted START, cleared by the core's done pulse.</t>
        </is>
      </c>
    </row>
    <row customHeight="1" ht="30" r="9">
      <c r="A9" s="21" t="inlineStr">
        <is>
          <t>AES-128</t>
        </is>
      </c>
      <c r="B9" s="22" t="n">
        <v>268468224</v>
      </c>
      <c r="C9" s="22" t="n">
        <v>268468228</v>
      </c>
      <c r="D9" s="19" t="inlineStr">
        <is>
          <t>STATUS</t>
        </is>
      </c>
      <c r="E9" s="25" t="inlineStr">
        <is>
          <t>[1]</t>
        </is>
      </c>
      <c r="F9" s="19" t="inlineStr">
        <is>
          <t>DONE</t>
        </is>
      </c>
      <c r="G9" s="58" t="inlineStr">
        <is>
          <t>R</t>
        </is>
      </c>
      <c r="H9" s="4" t="inlineStr">
        <is>
          <t>status bit</t>
        </is>
      </c>
      <c r="I9" s="22" t="inlineStr">
        <is>
          <t>n/a</t>
        </is>
      </c>
      <c r="J9" s="4" t="inlineStr">
        <is>
          <t>0 = no result, 1 = RESULT0..RESULT3 hold a fresh ciphertext. Set on completion, cleared by CONTROL[1].</t>
        </is>
      </c>
    </row>
    <row customHeight="1" ht="30" r="10">
      <c r="A10" s="31" t="inlineStr">
        <is>
          <t>AES-128</t>
        </is>
      </c>
      <c r="B10" s="33" t="n">
        <v>268468224</v>
      </c>
      <c r="C10" s="33" t="n">
        <v>268468228</v>
      </c>
      <c r="D10" s="29" t="inlineStr">
        <is>
          <t>STATUS</t>
        </is>
      </c>
      <c r="E10" s="36" t="inlineStr">
        <is>
          <t>[31:2]</t>
        </is>
      </c>
      <c r="F10" s="29" t="inlineStr">
        <is>
          <t>(reserved)</t>
        </is>
      </c>
      <c r="G10" s="60" t="inlineStr">
        <is>
          <t>R</t>
        </is>
      </c>
      <c r="H10" s="32" t="inlineStr">
        <is>
          <t>constant</t>
        </is>
      </c>
      <c r="I10" s="33" t="n">
        <v>0</v>
      </c>
      <c r="J10" s="32" t="inlineStr">
        <is>
          <t>Reads zero.</t>
        </is>
      </c>
    </row>
    <row customHeight="1" ht="30" r="11">
      <c r="A11" s="21" t="inlineStr">
        <is>
          <t>AES-128</t>
        </is>
      </c>
      <c r="B11" s="22" t="n">
        <v>268468224</v>
      </c>
      <c r="C11" s="22" t="n">
        <v>268468264</v>
      </c>
      <c r="D11" s="19" t="inlineStr">
        <is>
          <t>RESULT0..3</t>
        </is>
      </c>
      <c r="E11" s="25" t="inlineStr">
        <is>
          <t>[127:0]</t>
        </is>
      </c>
      <c r="F11" s="19" t="inlineStr">
        <is>
          <t>RESULT</t>
        </is>
      </c>
      <c r="G11" s="58" t="inlineStr">
        <is>
          <t>R</t>
        </is>
      </c>
      <c r="H11" s="4" t="inlineStr">
        <is>
          <t>data</t>
        </is>
      </c>
      <c r="I11" s="22" t="inlineStr">
        <is>
          <t>n/a</t>
        </is>
      </c>
      <c r="J11" s="4" t="inlineStr">
        <is>
          <t>In the documented word order the vector is 69c4e0d86a7b0430d8cdb78070b4c55a for key 000102..0f and plaintext 001122..eeff, i.e. RESULT3=69c4e0d8, RESULT2=6a7b0430, RESULT1=d8cdb780, RESULT0=70b4c55a.</t>
        </is>
      </c>
    </row>
    <row customHeight="1" ht="30" r="12">
      <c r="A12" s="31" t="inlineStr">
        <is>
          <t>UART</t>
        </is>
      </c>
      <c r="B12" s="33" t="n">
        <v>268435456</v>
      </c>
      <c r="C12" s="33" t="n">
        <v>268435464</v>
      </c>
      <c r="D12" s="29" t="inlineStr">
        <is>
          <t>BAUD_DIVISOR</t>
        </is>
      </c>
      <c r="E12" s="36" t="inlineStr">
        <is>
          <t>[15:0]</t>
        </is>
      </c>
      <c r="F12" s="29" t="inlineStr">
        <is>
          <t>DIV</t>
        </is>
      </c>
      <c r="G12" s="60" t="inlineStr">
        <is>
          <t>R/W</t>
        </is>
      </c>
      <c r="H12" s="32" t="inlineStr">
        <is>
          <t>data</t>
        </is>
      </c>
      <c r="I12" s="33" t="n">
        <v>869</v>
      </c>
      <c r="J12" s="32" t="inlineStr">
        <is>
          <t>Only meaningful while LCR.DLAB=1. Reset default 868 gives a 869-clk bit period (8690 ns at 100 MHz, ~115 kbaud). Firmware does not program DLAB, so the reset default is what the E2E test observes.</t>
        </is>
      </c>
    </row>
    <row customHeight="1" ht="30" r="13">
      <c r="A13" s="21" t="inlineStr">
        <is>
          <t>UART</t>
        </is>
      </c>
      <c r="B13" s="22" t="n">
        <v>268435456</v>
      </c>
      <c r="C13" s="22" t="n">
        <v>268435468</v>
      </c>
      <c r="D13" s="19" t="inlineStr">
        <is>
          <t>LCR</t>
        </is>
      </c>
      <c r="E13" s="25" t="inlineStr">
        <is>
          <t>[0]</t>
        </is>
      </c>
      <c r="F13" s="19" t="inlineStr">
        <is>
          <t>DLAB</t>
        </is>
      </c>
      <c r="G13" s="58" t="inlineStr">
        <is>
          <t>R/W</t>
        </is>
      </c>
      <c r="H13" s="4" t="inlineStr">
        <is>
          <t>bit</t>
        </is>
      </c>
      <c r="I13" s="22" t="n">
        <v>0</v>
      </c>
      <c r="J13" s="4" t="inlineStr">
        <is>
          <t>0 = 0x00 is THR/RBR and 0x04 is IER. 1 = 0x00 is the divisor latch. This is the gate on BAUD_DIVISOR at 0x08.</t>
        </is>
      </c>
    </row>
    <row customHeight="1" ht="30" r="14">
      <c r="A14" s="31" t="inlineStr">
        <is>
          <t>UART</t>
        </is>
      </c>
      <c r="B14" s="33" t="n">
        <v>268435456</v>
      </c>
      <c r="C14" s="33" t="n">
        <v>268435476</v>
      </c>
      <c r="D14" s="29" t="inlineStr">
        <is>
          <t>LSR</t>
        </is>
      </c>
      <c r="E14" s="36" t="inlineStr">
        <is>
          <t>[5]</t>
        </is>
      </c>
      <c r="F14" s="29" t="inlineStr">
        <is>
          <t>THRE</t>
        </is>
      </c>
      <c r="G14" s="60" t="inlineStr">
        <is>
          <t>R</t>
        </is>
      </c>
      <c r="H14" s="32" t="inlineStr">
        <is>
          <t>status bit</t>
        </is>
      </c>
      <c r="I14" s="33" t="inlineStr">
        <is>
          <t>n/a</t>
        </is>
      </c>
      <c r="J14" s="32" t="inlineStr">
        <is>
          <t>Transmit holding register empty. The E2E program polls this before each byte.</t>
        </is>
      </c>
    </row>
    <row customHeight="1" ht="30" r="15">
      <c r="A15" s="21" t="inlineStr">
        <is>
          <t>UART</t>
        </is>
      </c>
      <c r="B15" s="22" t="n">
        <v>268435456</v>
      </c>
      <c r="C15" s="22" t="n">
        <v>268435476</v>
      </c>
      <c r="D15" s="19" t="inlineStr">
        <is>
          <t>LSR</t>
        </is>
      </c>
      <c r="E15" s="25" t="inlineStr">
        <is>
          <t>[6]</t>
        </is>
      </c>
      <c r="F15" s="19" t="inlineStr">
        <is>
          <t>TEMT</t>
        </is>
      </c>
      <c r="G15" s="58" t="inlineStr">
        <is>
          <t>R</t>
        </is>
      </c>
      <c r="H15" s="4" t="inlineStr">
        <is>
          <t>status bit</t>
        </is>
      </c>
      <c r="I15" s="22" t="inlineStr">
        <is>
          <t>n/a</t>
        </is>
      </c>
      <c r="J15" s="4" t="inlineStr">
        <is>
          <t>Transmitter empty (shift register drained). Polled last. Phase-3 PASS requires THRE|TEMT set and OE clear.</t>
        </is>
      </c>
    </row>
    <row customHeight="1" ht="30" r="16">
      <c r="A16" s="31" t="inlineStr">
        <is>
          <t>UART</t>
        </is>
      </c>
      <c r="B16" s="33" t="n">
        <v>268435456</v>
      </c>
      <c r="C16" s="33" t="n">
        <v>268435476</v>
      </c>
      <c r="D16" s="29" t="inlineStr">
        <is>
          <t>LSR</t>
        </is>
      </c>
      <c r="E16" s="36" t="inlineStr">
        <is>
          <t>[0]</t>
        </is>
      </c>
      <c r="F16" s="29" t="inlineStr">
        <is>
          <t>OE</t>
        </is>
      </c>
      <c r="G16" s="60" t="inlineStr">
        <is>
          <t>R</t>
        </is>
      </c>
      <c r="H16" s="32" t="inlineStr">
        <is>
          <t>status bit</t>
        </is>
      </c>
      <c r="I16" s="33" t="inlineStr">
        <is>
          <t>n/a</t>
        </is>
      </c>
      <c r="J16" s="32" t="inlineStr">
        <is>
          <t>Overrun error. Phase-3 PASS requires OE=0. Asserting it is a valid negative test.</t>
        </is>
      </c>
    </row>
    <row customHeight="1" ht="30" r="17">
      <c r="A17" s="21" t="inlineStr">
        <is>
          <t>Timer</t>
        </is>
      </c>
      <c r="B17" s="22" t="n">
        <v>268443648</v>
      </c>
      <c r="C17" s="22" t="n">
        <v>268443656</v>
      </c>
      <c r="D17" s="19" t="inlineStr">
        <is>
          <t>CONTROL</t>
        </is>
      </c>
      <c r="E17" s="25" t="inlineStr">
        <is>
          <t>[0]</t>
        </is>
      </c>
      <c r="F17" s="19" t="inlineStr">
        <is>
          <t>ENABLE</t>
        </is>
      </c>
      <c r="G17" s="58" t="inlineStr">
        <is>
          <t>R/W</t>
        </is>
      </c>
      <c r="H17" s="4" t="inlineStr">
        <is>
          <t>bit</t>
        </is>
      </c>
      <c r="I17" s="22" t="inlineStr">
        <is>
          <t>n/a</t>
        </is>
      </c>
      <c r="J17" s="4" t="inlineStr">
        <is>
          <t>COUNT increments only while ENABLE=1. Not specified further.</t>
        </is>
      </c>
    </row>
    <row customHeight="1" ht="30" r="18">
      <c r="A18" s="31" t="inlineStr">
        <is>
          <t>Timer</t>
        </is>
      </c>
      <c r="B18" s="33" t="n">
        <v>268443648</v>
      </c>
      <c r="C18" s="33" t="n">
        <v>268443656</v>
      </c>
      <c r="D18" s="29" t="inlineStr">
        <is>
          <t>CONTROL</t>
        </is>
      </c>
      <c r="E18" s="36" t="inlineStr">
        <is>
          <t>[1]</t>
        </is>
      </c>
      <c r="F18" s="29" t="inlineStr">
        <is>
          <t>IRQ_EN</t>
        </is>
      </c>
      <c r="G18" s="60" t="inlineStr">
        <is>
          <t>R/W</t>
        </is>
      </c>
      <c r="H18" s="32" t="inlineStr">
        <is>
          <t>bit</t>
        </is>
      </c>
      <c r="I18" s="33" t="inlineStr">
        <is>
          <t>n/a</t>
        </is>
      </c>
      <c r="J18" s="32" t="inlineStr">
        <is>
          <t>Enables TIMER_IRQ on the compare event. Gate for PIC source ID 3.</t>
        </is>
      </c>
    </row>
    <row customHeight="1" ht="30" r="19">
      <c r="A19" s="21" t="inlineStr">
        <is>
          <t>Timer</t>
        </is>
      </c>
      <c r="B19" s="22" t="n">
        <v>268443648</v>
      </c>
      <c r="C19" s="22" t="n">
        <v>268443656</v>
      </c>
      <c r="D19" s="19" t="inlineStr">
        <is>
          <t>CONTROL</t>
        </is>
      </c>
      <c r="E19" s="25" t="inlineStr">
        <is>
          <t>[2]</t>
        </is>
      </c>
      <c r="F19" s="19" t="inlineStr">
        <is>
          <t>AUTO_RELOAD</t>
        </is>
      </c>
      <c r="G19" s="58" t="inlineStr">
        <is>
          <t>R/W</t>
        </is>
      </c>
      <c r="H19" s="4" t="inlineStr">
        <is>
          <t>bit</t>
        </is>
      </c>
      <c r="I19" s="22" t="inlineStr">
        <is>
          <t>n/a</t>
        </is>
      </c>
      <c r="J19" s="4" t="inlineStr">
        <is>
          <t>1 = periodic, 0 = one-shot.</t>
        </is>
      </c>
    </row>
    <row customHeight="1" ht="30" r="20">
      <c r="A20" s="31" t="inlineStr">
        <is>
          <t>Timer</t>
        </is>
      </c>
      <c r="B20" s="33" t="n">
        <v>268443648</v>
      </c>
      <c r="C20" s="33" t="n">
        <v>268443660</v>
      </c>
      <c r="D20" s="29" t="inlineStr">
        <is>
          <t>STATUS</t>
        </is>
      </c>
      <c r="E20" s="36" t="inlineStr">
        <is>
          <t>[0]</t>
        </is>
      </c>
      <c r="F20" s="29" t="inlineStr">
        <is>
          <t>MATCH</t>
        </is>
      </c>
      <c r="G20" s="60" t="inlineStr">
        <is>
          <t>R/W1C</t>
        </is>
      </c>
      <c r="H20" s="32" t="inlineStr">
        <is>
          <t>status bit</t>
        </is>
      </c>
      <c r="I20" s="33" t="inlineStr">
        <is>
          <t>n/a</t>
        </is>
      </c>
      <c r="J20" s="32" t="inlineStr">
        <is>
          <t>Compare match occurred. Write 1 to clear. BIT ALLOCATION NOT YET FROZEN - only MATCH is named in v3 s10.2.</t>
        </is>
      </c>
    </row>
    <row customHeight="1" ht="30" r="21">
      <c r="A21" s="21" t="inlineStr">
        <is>
          <t>GPIO</t>
        </is>
      </c>
      <c r="B21" s="22" t="n">
        <v>268451840</v>
      </c>
      <c r="C21" s="22" t="n">
        <v>268451840</v>
      </c>
      <c r="D21" s="19" t="inlineStr">
        <is>
          <t>OUT</t>
        </is>
      </c>
      <c r="E21" s="25" t="inlineStr">
        <is>
          <t>[0]</t>
        </is>
      </c>
      <c r="F21" s="19" t="inlineStr">
        <is>
          <t>CPU_ALIVE</t>
        </is>
      </c>
      <c r="G21" s="58" t="inlineStr">
        <is>
          <t>R/W</t>
        </is>
      </c>
      <c r="H21" s="4" t="inlineStr">
        <is>
          <t>data bit</t>
        </is>
      </c>
      <c r="I21" s="22" t="inlineStr">
        <is>
          <t>n/a</t>
        </is>
      </c>
      <c r="J21" s="4" t="inlineStr">
        <is>
          <t>Heartbeat / CPU-alive indication.</t>
        </is>
      </c>
    </row>
    <row customHeight="1" ht="30" r="22">
      <c r="A22" s="31" t="inlineStr">
        <is>
          <t>GPIO</t>
        </is>
      </c>
      <c r="B22" s="33" t="n">
        <v>268451840</v>
      </c>
      <c r="C22" s="33" t="n">
        <v>268451840</v>
      </c>
      <c r="D22" s="29" t="inlineStr">
        <is>
          <t>OUT</t>
        </is>
      </c>
      <c r="E22" s="36" t="inlineStr">
        <is>
          <t>[1]</t>
        </is>
      </c>
      <c r="F22" s="29" t="inlineStr">
        <is>
          <t>PKT_RX</t>
        </is>
      </c>
      <c r="G22" s="60" t="inlineStr">
        <is>
          <t>R/W</t>
        </is>
      </c>
      <c r="H22" s="32" t="inlineStr">
        <is>
          <t>data bit</t>
        </is>
      </c>
      <c r="I22" s="33" t="inlineStr">
        <is>
          <t>n/a</t>
        </is>
      </c>
      <c r="J22" s="32" t="inlineStr">
        <is>
          <t>Packet-received indication.</t>
        </is>
      </c>
    </row>
    <row customHeight="1" ht="30" r="23">
      <c r="A23" s="21" t="inlineStr">
        <is>
          <t>GPIO</t>
        </is>
      </c>
      <c r="B23" s="22" t="n">
        <v>268451840</v>
      </c>
      <c r="C23" s="22" t="n">
        <v>268451840</v>
      </c>
      <c r="D23" s="19" t="inlineStr">
        <is>
          <t>OUT</t>
        </is>
      </c>
      <c r="E23" s="25" t="inlineStr">
        <is>
          <t>[2]</t>
        </is>
      </c>
      <c r="F23" s="19" t="inlineStr">
        <is>
          <t>AES_BUSY</t>
        </is>
      </c>
      <c r="G23" s="58" t="inlineStr">
        <is>
          <t>R/W</t>
        </is>
      </c>
      <c r="H23" s="4" t="inlineStr">
        <is>
          <t>data bit</t>
        </is>
      </c>
      <c r="I23" s="22" t="inlineStr">
        <is>
          <t>n/a</t>
        </is>
      </c>
      <c r="J23" s="4" t="inlineStr">
        <is>
          <t>Mirrors AES STATUS.BUSY.</t>
        </is>
      </c>
    </row>
    <row customHeight="1" ht="30" r="24">
      <c r="A24" s="31" t="inlineStr">
        <is>
          <t>GPIO</t>
        </is>
      </c>
      <c r="B24" s="33" t="n">
        <v>268451840</v>
      </c>
      <c r="C24" s="33" t="n">
        <v>268451840</v>
      </c>
      <c r="D24" s="29" t="inlineStr">
        <is>
          <t>OUT</t>
        </is>
      </c>
      <c r="E24" s="36" t="inlineStr">
        <is>
          <t>[3]</t>
        </is>
      </c>
      <c r="F24" s="29" t="inlineStr">
        <is>
          <t>PKT_ERR</t>
        </is>
      </c>
      <c r="G24" s="60" t="inlineStr">
        <is>
          <t>R/W</t>
        </is>
      </c>
      <c r="H24" s="32" t="inlineStr">
        <is>
          <t>data bit</t>
        </is>
      </c>
      <c r="I24" s="33" t="inlineStr">
        <is>
          <t>n/a</t>
        </is>
      </c>
      <c r="J24" s="32" t="inlineStr">
        <is>
          <t>Packet error indication.</t>
        </is>
      </c>
    </row>
    <row customHeight="1" ht="30" r="25">
      <c r="A25" s="21" t="inlineStr">
        <is>
          <t>NTE</t>
        </is>
      </c>
      <c r="B25" s="22" t="n">
        <v>268460032</v>
      </c>
      <c r="C25" s="22" t="n">
        <v>268460032</v>
      </c>
      <c r="D25" s="19" t="inlineStr">
        <is>
          <t>STATUS</t>
        </is>
      </c>
      <c r="E25" s="25" t="inlineStr">
        <is>
          <t>[n]</t>
        </is>
      </c>
      <c r="F25" s="19" t="inlineStr">
        <is>
          <t>PARSER_BUSY</t>
        </is>
      </c>
      <c r="G25" s="58" t="inlineStr">
        <is>
          <t>R</t>
        </is>
      </c>
      <c r="H25" s="4" t="inlineStr">
        <is>
          <t>status bit</t>
        </is>
      </c>
      <c r="I25" s="22" t="inlineStr">
        <is>
          <t>n/a</t>
        </is>
      </c>
      <c r="J25" s="4" t="inlineStr">
        <is>
          <t>Required by v3 s10.4. Exact bit index NOT YET FROZEN.</t>
        </is>
      </c>
    </row>
    <row customHeight="1" ht="30" r="26">
      <c r="A26" s="31" t="inlineStr">
        <is>
          <t>NTE</t>
        </is>
      </c>
      <c r="B26" s="33" t="n">
        <v>268460032</v>
      </c>
      <c r="C26" s="33" t="n">
        <v>268460032</v>
      </c>
      <c r="D26" s="29" t="inlineStr">
        <is>
          <t>STATUS</t>
        </is>
      </c>
      <c r="E26" s="36" t="inlineStr">
        <is>
          <t>[n]</t>
        </is>
      </c>
      <c r="F26" s="29" t="inlineStr">
        <is>
          <t>PACKET_READY</t>
        </is>
      </c>
      <c r="G26" s="60" t="inlineStr">
        <is>
          <t>R</t>
        </is>
      </c>
      <c r="H26" s="32" t="inlineStr">
        <is>
          <t>status bit</t>
        </is>
      </c>
      <c r="I26" s="33" t="inlineStr">
        <is>
          <t>n/a</t>
        </is>
      </c>
      <c r="J26" s="32" t="inlineStr">
        <is>
          <t>Required by v3 s10.4. Bit index NOT YET FROZEN.</t>
        </is>
      </c>
    </row>
    <row customHeight="1" ht="30" r="27">
      <c r="A27" s="21" t="inlineStr">
        <is>
          <t>NTE</t>
        </is>
      </c>
      <c r="B27" s="22" t="n">
        <v>268460032</v>
      </c>
      <c r="C27" s="22" t="n">
        <v>268460032</v>
      </c>
      <c r="D27" s="19" t="inlineStr">
        <is>
          <t>STATUS</t>
        </is>
      </c>
      <c r="E27" s="25" t="inlineStr">
        <is>
          <t>[n]</t>
        </is>
      </c>
      <c r="F27" s="19" t="inlineStr">
        <is>
          <t>CRC_FAIL</t>
        </is>
      </c>
      <c r="G27" s="58" t="inlineStr">
        <is>
          <t>R</t>
        </is>
      </c>
      <c r="H27" s="4" t="inlineStr">
        <is>
          <t>status bit</t>
        </is>
      </c>
      <c r="I27" s="22" t="inlineStr">
        <is>
          <t>n/a</t>
        </is>
      </c>
      <c r="J27" s="4" t="inlineStr">
        <is>
          <t>Required by v3 s10.4. Bit index NOT YET FROZEN.</t>
        </is>
      </c>
    </row>
    <row customHeight="1" ht="30" r="28">
      <c r="A28" s="31" t="inlineStr">
        <is>
          <t>NTE</t>
        </is>
      </c>
      <c r="B28" s="33" t="n">
        <v>268460032</v>
      </c>
      <c r="C28" s="33" t="n">
        <v>268460032</v>
      </c>
      <c r="D28" s="29" t="inlineStr">
        <is>
          <t>STATUS</t>
        </is>
      </c>
      <c r="E28" s="36" t="inlineStr">
        <is>
          <t>[n]</t>
        </is>
      </c>
      <c r="F28" s="29" t="inlineStr">
        <is>
          <t>OVERFLOW</t>
        </is>
      </c>
      <c r="G28" s="60" t="inlineStr">
        <is>
          <t>R</t>
        </is>
      </c>
      <c r="H28" s="32" t="inlineStr">
        <is>
          <t>status bit</t>
        </is>
      </c>
      <c r="I28" s="33" t="inlineStr">
        <is>
          <t>n/a</t>
        </is>
      </c>
      <c r="J28" s="32" t="inlineStr">
        <is>
          <t>Required by v3 s10.4. Bit index NOT YET FROZEN.</t>
        </is>
      </c>
    </row>
    <row customHeight="1" ht="30" r="29">
      <c r="A29" s="21" t="inlineStr">
        <is>
          <t>NTE</t>
        </is>
      </c>
      <c r="B29" s="22" t="n">
        <v>268460032</v>
      </c>
      <c r="C29" s="22" t="n">
        <v>268460032</v>
      </c>
      <c r="D29" s="19" t="inlineStr">
        <is>
          <t>STATUS</t>
        </is>
      </c>
      <c r="E29" s="25" t="inlineStr">
        <is>
          <t>[n]</t>
        </is>
      </c>
      <c r="F29" s="19" t="inlineStr">
        <is>
          <t>PACKET_ERROR</t>
        </is>
      </c>
      <c r="G29" s="58" t="inlineStr">
        <is>
          <t>R</t>
        </is>
      </c>
      <c r="H29" s="4" t="inlineStr">
        <is>
          <t>status bit</t>
        </is>
      </c>
      <c r="I29" s="22" t="inlineStr">
        <is>
          <t>n/a</t>
        </is>
      </c>
      <c r="J29" s="4" t="inlineStr">
        <is>
          <t>Required by v3 s10.4. Bit index NOT YET FROZEN. Reserved bits must read zero.</t>
        </is>
      </c>
    </row>
    <row customHeight="1" ht="30" r="30">
      <c r="A30" s="31" t="inlineStr">
        <is>
          <t>NTE</t>
        </is>
      </c>
      <c r="B30" s="33" t="n">
        <v>268460032</v>
      </c>
      <c r="C30" s="33" t="n">
        <v>268460088</v>
      </c>
      <c r="D30" s="29" t="inlineStr">
        <is>
          <t>IRQ_STATUS</t>
        </is>
      </c>
      <c r="E30" s="36" t="inlineStr">
        <is>
          <t>[0]</t>
        </is>
      </c>
      <c r="F30" s="29" t="inlineStr">
        <is>
          <t>PACKET_DONE</t>
        </is>
      </c>
      <c r="G30" s="60" t="inlineStr">
        <is>
          <t>R/W1C</t>
        </is>
      </c>
      <c r="H30" s="32" t="inlineStr">
        <is>
          <t>status bit</t>
        </is>
      </c>
      <c r="I30" s="33" t="inlineStr">
        <is>
          <t>n/a</t>
        </is>
      </c>
      <c r="J30" s="32" t="inlineStr">
        <is>
          <t>Packet completion and snapshot available. Write 1 to clear. Source of PIC ID 1.</t>
        </is>
      </c>
    </row>
    <row customHeight="1" ht="30" r="31">
      <c r="A31" s="21" t="inlineStr">
        <is>
          <t>NTE</t>
        </is>
      </c>
      <c r="B31" s="22" t="n">
        <v>268460032</v>
      </c>
      <c r="C31" s="22" t="n">
        <v>268460092</v>
      </c>
      <c r="D31" s="19" t="inlineStr">
        <is>
          <t>IRQ_ENABLE</t>
        </is>
      </c>
      <c r="E31" s="25" t="inlineStr">
        <is>
          <t>[0]</t>
        </is>
      </c>
      <c r="F31" s="19" t="inlineStr">
        <is>
          <t>NET_IRQ_EN</t>
        </is>
      </c>
      <c r="G31" s="58" t="inlineStr">
        <is>
          <t>R/W</t>
        </is>
      </c>
      <c r="H31" s="4" t="inlineStr">
        <is>
          <t>bit</t>
        </is>
      </c>
      <c r="I31" s="22" t="inlineStr">
        <is>
          <t>n/a</t>
        </is>
      </c>
      <c r="J31" s="4" t="inlineStr">
        <is>
          <t>Enable for PIC ID 1. NET_IRQ = packet completion AND snapshot available AND this enable.</t>
        </is>
      </c>
    </row>
    <row customHeight="1" ht="30" r="32">
      <c r="A32" s="31" t="inlineStr">
        <is>
          <t>CRC-32/FCS</t>
        </is>
      </c>
      <c r="B32" s="33" t="n">
        <v>268476416</v>
      </c>
      <c r="C32" s="33" t="n">
        <v>268476420</v>
      </c>
      <c r="D32" s="29" t="inlineStr">
        <is>
          <t>STATUS</t>
        </is>
      </c>
      <c r="E32" s="36" t="inlineStr">
        <is>
          <t>[n]</t>
        </is>
      </c>
      <c r="F32" s="29" t="inlineStr">
        <is>
          <t>VALID / PASS / FAIL</t>
        </is>
      </c>
      <c r="G32" s="60" t="inlineStr">
        <is>
          <t>R</t>
        </is>
      </c>
      <c r="H32" s="32" t="inlineStr">
        <is>
          <t>status bits</t>
        </is>
      </c>
      <c r="I32" s="33" t="inlineStr">
        <is>
          <t>n/a</t>
        </is>
      </c>
      <c r="J32" s="32" t="inlineStr">
        <is>
          <t>v3 s10.6 requires an unambiguous software-visible distinction between CRC result value, FCS valid, FCS pass and FCS fail. BIT ALLOCATION NOT YET FROZEN.</t>
        </is>
      </c>
    </row>
  </sheetData>
  <autoFilter ref="A4:J32"/>
  <mergeCells count="2">
    <mergeCell ref="A2:J2"/>
    <mergeCell ref="A1:J1"/>
  </mergeCells>
  <printOptions horizontalCentered="1"/>
  <pageMargins bottom="0.4" footer="0.5" header="0.5" left="0.3" right="0.3" top="0.4"/>
  <pageSetup fitToHeight="0" fitToWidth="1" orientation="landscape"/>
  <headerFooter>
    <oddHeader/>
    <oddFooter>&amp;C&amp;8 &amp;A  |  Rev B (Re-pitched MMIO aperture, draft for Architecture Freeze)  |  Page &amp;P of &amp;N</oddFooter>
    <evenHeader/>
    <evenFooter/>
    <firstHeader/>
    <firstFooter/>
  </headerFooter>
</worksheet>
</file>

<file path=xl/worksheets/sheet6.xml><?xml version="1.0" encoding="utf-8"?>
<worksheet xmlns="http://schemas.openxmlformats.org/spreadsheetml/2006/main">
  <sheetPr>
    <tabColor rgb="00833C0C"/>
    <outlinePr summaryBelow="1" summaryRight="1"/>
    <pageSetUpPr fitToPage="1"/>
  </sheetPr>
  <dimension ref="A1:K17"/>
  <sheetViews>
    <sheetView showGridLines="0" workbookViewId="0">
      <pane activePane="bottomRight" state="frozen" topLeftCell="C5" xSplit="2" ySplit="4"/>
      <selection pane="topRight"/>
      <selection pane="bottomLeft"/>
      <selection activeCell="A1" pane="bottomRight" sqref="A1"/>
    </sheetView>
  </sheetViews>
  <sheetFormatPr baseColWidth="8" defaultRowHeight="15"/>
  <cols>
    <col customWidth="1" max="1" min="1" width="12"/>
    <col customWidth="1" max="2" min="2" width="28"/>
    <col customWidth="1" max="3" min="3" width="16"/>
    <col customWidth="1" max="4" min="4" width="14"/>
    <col customWidth="1" max="5" min="5" width="40"/>
    <col customWidth="1" max="6" min="6" width="34"/>
    <col customWidth="1" max="7" min="7" width="32"/>
    <col customWidth="1" max="8" min="8" width="16"/>
    <col customWidth="1" max="9" min="9" width="13"/>
    <col customWidth="1" max="10" min="10" width="20"/>
    <col customWidth="1" max="11" min="11" width="48"/>
  </cols>
  <sheetData>
    <row customHeight="1" ht="22" r="1">
      <c r="A1" s="15" t="inlineStr">
        <is>
          <t>5. Interrupt Map - VeeR PIC Source Assignment</t>
        </is>
      </c>
    </row>
    <row customHeight="1" ht="40" r="2">
      <c r="A2" s="16" t="inlineStr">
        <is>
          <t>The architecture uses the VeeR programmable interrupt controller, not an OR gate. IDs 1-3 are frozen by v3 s12.2. IDs 4+ are proposals and must be frozen before software interrupt code is finalised. Register addresses follow the Rev B window bases - five of them moved.</t>
        </is>
      </c>
      <c r="B2" s="17" t="n"/>
      <c r="C2" s="17" t="n"/>
      <c r="D2" s="17" t="n"/>
      <c r="E2" s="17" t="n"/>
      <c r="F2" s="17" t="n"/>
      <c r="G2" s="17" t="n"/>
      <c r="H2" s="17" t="n"/>
      <c r="I2" s="17" t="n"/>
      <c r="J2" s="17" t="n"/>
      <c r="K2" s="17" t="n"/>
    </row>
    <row customHeight="1" ht="34" r="4">
      <c r="A4" s="18" t="inlineStr">
        <is>
          <t>PIC Source ID</t>
        </is>
      </c>
      <c r="B4" s="18" t="inlineStr">
        <is>
          <t>Source Block</t>
        </is>
      </c>
      <c r="C4" s="18" t="inlineStr">
        <is>
          <t>Peripheral Window</t>
        </is>
      </c>
      <c r="D4" s="18" t="inlineStr">
        <is>
          <t>Interrupt Signal</t>
        </is>
      </c>
      <c r="E4" s="18" t="inlineStr">
        <is>
          <t>Assertion Condition</t>
        </is>
      </c>
      <c r="F4" s="18" t="inlineStr">
        <is>
          <t>Enable Register / Bit</t>
        </is>
      </c>
      <c r="G4" s="18" t="inlineStr">
        <is>
          <t>Clear Mechanism</t>
        </is>
      </c>
      <c r="H4" s="18" t="inlineStr">
        <is>
          <t>Expected VeeR Cause ID</t>
        </is>
      </c>
      <c r="I4" s="18" t="inlineStr">
        <is>
          <t>Freeze Status</t>
        </is>
      </c>
      <c r="J4" s="18" t="inlineStr">
        <is>
          <t>Source</t>
        </is>
      </c>
      <c r="K4" s="18" t="inlineStr">
        <is>
          <t>Notes</t>
        </is>
      </c>
    </row>
    <row customHeight="1" ht="46" r="5">
      <c r="A5" s="25" t="n">
        <v>1</v>
      </c>
      <c r="B5" s="21" t="inlineStr">
        <is>
          <t>Network Telemetry Engine (NTE)</t>
        </is>
      </c>
      <c r="C5" s="22" t="n">
        <v>268460032</v>
      </c>
      <c r="D5" s="19" t="inlineStr">
        <is>
          <t>NET_IRQ</t>
        </is>
      </c>
      <c r="E5" s="4" t="inlineStr">
        <is>
          <t>packet completion AND telemetry snapshot available AND network IRQ enabled</t>
        </is>
      </c>
      <c r="F5" s="52" t="inlineStr">
        <is>
          <t>NTE.IRQ_ENABLE bit 0 @ 0x1000603C</t>
        </is>
      </c>
      <c r="G5" s="52" t="inlineStr">
        <is>
          <t>Write 1 to NTE.IRQ_STATUS.PACKET_DONE @ 0x10006038, then deassert in the PIC</t>
        </is>
      </c>
      <c r="H5" s="50" t="inlineStr">
        <is>
          <t>TBD by gateway</t>
        </is>
      </c>
      <c r="I5" s="28" t="inlineStr">
        <is>
          <t>FROZEN</t>
        </is>
      </c>
      <c r="J5" s="4" t="inlineStr">
        <is>
          <t>v3 s12.2, s12.3</t>
        </is>
      </c>
      <c r="K5" s="4" t="inlineStr">
        <is>
          <t>Highest-priority network event. The packet timestamp is currently CPU-observed from Timer.COUNT inside this ISR; the hardware Timestamp Unit is meant to replace that.</t>
        </is>
      </c>
    </row>
    <row customHeight="1" ht="46" r="6">
      <c r="A6" s="36" t="n">
        <v>2</v>
      </c>
      <c r="B6" s="31" t="inlineStr">
        <is>
          <t>AES-128 Accelerator</t>
        </is>
      </c>
      <c r="C6" s="33" t="n">
        <v>268468224</v>
      </c>
      <c r="D6" s="29" t="inlineStr">
        <is>
          <t>AES_IRQ</t>
        </is>
      </c>
      <c r="E6" s="32" t="inlineStr">
        <is>
          <t>AES encryption complete AND AES IRQ enabled</t>
        </is>
      </c>
      <c r="F6" s="56" t="inlineStr">
        <is>
          <t>aes_axi_slave irq_reg; software-visible via CONTROL[1] to clear</t>
        </is>
      </c>
      <c r="G6" s="56" t="inlineStr">
        <is>
          <t>Write CONTROL[1]=1 @ 0x10008000, then deassert in the PIC</t>
        </is>
      </c>
      <c r="H6" s="54" t="inlineStr">
        <is>
          <t>TBD by gateway</t>
        </is>
      </c>
      <c r="I6" s="28" t="inlineStr">
        <is>
          <t>FROZEN</t>
        </is>
      </c>
      <c r="J6" s="32" t="inlineStr">
        <is>
          <t>v3 s12.2, s12.4</t>
        </is>
      </c>
      <c r="K6" s="32" t="inlineStr">
        <is>
          <t>The wrapper drives irq_reg internally, but soc_top does not instantiate the AES slave and no AES interrupt net reaches the PIC. Plan s14.3 records the completion / DONE / interrupt path as needing closure.</t>
        </is>
      </c>
    </row>
    <row customHeight="1" ht="46" r="7">
      <c r="A7" s="25" t="n">
        <v>3</v>
      </c>
      <c r="B7" s="21" t="inlineStr">
        <is>
          <t>Custom Timer</t>
        </is>
      </c>
      <c r="C7" s="22" t="n">
        <v>268443648</v>
      </c>
      <c r="D7" s="19" t="inlineStr">
        <is>
          <t>TIMER_IRQ</t>
        </is>
      </c>
      <c r="E7" s="4" t="inlineStr">
        <is>
          <t>COUNT reached COMPARE AND CONTROL.IRQ_EN set</t>
        </is>
      </c>
      <c r="F7" s="52" t="inlineStr">
        <is>
          <t>Timer.CONTROL.IRQ_EN bit 1 @ 0x10002008</t>
        </is>
      </c>
      <c r="G7" s="52" t="inlineStr">
        <is>
          <t>Write 1 to Timer.STATUS.MATCH @ 0x1000200C, then deassert in the PIC</t>
        </is>
      </c>
      <c r="H7" s="50" t="inlineStr">
        <is>
          <t>TBD by gateway</t>
        </is>
      </c>
      <c r="I7" s="28" t="inlineStr">
        <is>
          <t>FROZEN</t>
        </is>
      </c>
      <c r="J7" s="4" t="inlineStr">
        <is>
          <t>v3 s12.2</t>
        </is>
      </c>
      <c r="K7" s="4" t="inlineStr">
        <is>
          <t>Distinct from the hardware Timestamp Unit - this one is CPU / system timing, that one is data-plane timing.</t>
        </is>
      </c>
    </row>
    <row customHeight="1" ht="46" r="8">
      <c r="A8" s="36" t="n">
        <v>4</v>
      </c>
      <c r="B8" s="31" t="inlineStr">
        <is>
          <t>DMA Controller</t>
        </is>
      </c>
      <c r="C8" s="33" t="n">
        <v>268509184</v>
      </c>
      <c r="D8" s="29" t="inlineStr">
        <is>
          <t>DMA_IRQ</t>
        </is>
      </c>
      <c r="E8" s="32" t="inlineStr">
        <is>
          <t>Transfer complete OR transfer error, gated by DMA.IRQ_ENABLE</t>
        </is>
      </c>
      <c r="F8" s="56" t="inlineStr">
        <is>
          <t>DMA.IRQ_ENABLE @ 0x10012018 (DRAFT)</t>
        </is>
      </c>
      <c r="G8" s="56" t="inlineStr">
        <is>
          <t>Write 1 to DMA.IRQ_STATUS @ 0x1001201C (DRAFT)</t>
        </is>
      </c>
      <c r="H8" s="54" t="inlineStr">
        <is>
          <t>TBD</t>
        </is>
      </c>
      <c r="I8" s="42" t="inlineStr">
        <is>
          <t>PROPOSED</t>
        </is>
      </c>
      <c r="J8" s="32" t="inlineStr">
        <is>
          <t>plan s19</t>
        </is>
      </c>
      <c r="K8" s="32" t="inlineStr">
        <is>
          <t>Proposed ID. Whether completion and error share one line is undecided.</t>
        </is>
      </c>
    </row>
    <row customHeight="1" ht="46" r="9">
      <c r="A9" s="25" t="n">
        <v>5</v>
      </c>
      <c r="B9" s="21" t="inlineStr">
        <is>
          <t>Packet / Flow Buffer</t>
        </is>
      </c>
      <c r="C9" s="22" t="n">
        <v>268500992</v>
      </c>
      <c r="D9" s="19" t="inlineStr">
        <is>
          <t>BUF_IRQ</t>
        </is>
      </c>
      <c r="E9" s="4" t="inlineStr">
        <is>
          <t>Occupancy &gt;= THRESHOLD, or overflow occurred, gated by BUF.IRQ_ENABLE</t>
        </is>
      </c>
      <c r="F9" s="52" t="inlineStr">
        <is>
          <t>Buffer.IRQ_ENABLE @ 0x10010024 (DRAFT)</t>
        </is>
      </c>
      <c r="G9" s="52" t="inlineStr">
        <is>
          <t>Write 1 to Buffer.IRQ_STATUS @ 0x10010020 (DRAFT)</t>
        </is>
      </c>
      <c r="H9" s="50" t="inlineStr">
        <is>
          <t>TBD</t>
        </is>
      </c>
      <c r="I9" s="42" t="inlineStr">
        <is>
          <t>PROPOSED</t>
        </is>
      </c>
      <c r="J9" s="4" t="inlineStr">
        <is>
          <t>plan s12, s19</t>
        </is>
      </c>
      <c r="K9" s="4" t="inlineStr">
        <is>
          <t>Proposed ID. Threshold and overflow are distinct conditions.</t>
        </is>
      </c>
    </row>
    <row customHeight="1" ht="46" r="10">
      <c r="A10" s="36" t="n">
        <v>6</v>
      </c>
      <c r="B10" s="31" t="inlineStr">
        <is>
          <t>Ethernet MAC</t>
        </is>
      </c>
      <c r="C10" s="33" t="n">
        <v>268484608</v>
      </c>
      <c r="D10" s="29" t="inlineStr">
        <is>
          <t>MAC_IRQ</t>
        </is>
      </c>
      <c r="E10" s="32" t="inlineStr">
        <is>
          <t>RX_DONE, TX_DONE or ERROR, gated by MAC.INT_ENABLE</t>
        </is>
      </c>
      <c r="F10" s="56" t="inlineStr">
        <is>
          <t>MAC.INT_ENABLE @ 0x1000C024 (DRAFT)</t>
        </is>
      </c>
      <c r="G10" s="56" t="inlineStr">
        <is>
          <t>Write 1 to MAC.INT_STATUS @ 0x1000C020 (DRAFT)</t>
        </is>
      </c>
      <c r="H10" s="54" t="inlineStr">
        <is>
          <t>TBD</t>
        </is>
      </c>
      <c r="I10" s="42" t="inlineStr">
        <is>
          <t>PROPOSED</t>
        </is>
      </c>
      <c r="J10" s="32" t="inlineStr">
        <is>
          <t>plan s19</t>
        </is>
      </c>
      <c r="K10" s="32" t="inlineStr">
        <is>
          <t>Proposed ID. Not needed for the TX-only reporting path but needed once RX is verified.</t>
        </is>
      </c>
    </row>
    <row customHeight="1" ht="46" r="11">
      <c r="A11" s="25" t="n">
        <v>7</v>
      </c>
      <c r="B11" s="21" t="inlineStr">
        <is>
          <t>SHA-256 Accelerator</t>
        </is>
      </c>
      <c r="C11" s="22" t="n">
        <v>268517376</v>
      </c>
      <c r="D11" s="19" t="inlineStr">
        <is>
          <t>SHA_IRQ</t>
        </is>
      </c>
      <c r="E11" s="4" t="inlineStr">
        <is>
          <t>Digest computation complete, gated by SHA.IRQ_ENABLE</t>
        </is>
      </c>
      <c r="F11" s="52" t="inlineStr">
        <is>
          <t>SHA.IRQ_ENABLE @ 0x10014038 (DRAFT)</t>
        </is>
      </c>
      <c r="G11" s="52" t="inlineStr">
        <is>
          <t>Write 1 to SHA.IRQ_STATUS @ 0x10014034 (DRAFT)</t>
        </is>
      </c>
      <c r="H11" s="50" t="inlineStr">
        <is>
          <t>TBD</t>
        </is>
      </c>
      <c r="I11" s="42" t="inlineStr">
        <is>
          <t>PROPOSED</t>
        </is>
      </c>
      <c r="J11" s="4" t="inlineStr">
        <is>
          <t>plan s15, s19</t>
        </is>
      </c>
      <c r="K11" s="4" t="inlineStr">
        <is>
          <t>Proposed ID.</t>
        </is>
      </c>
    </row>
    <row customHeight="1" ht="46" r="12">
      <c r="A12" s="36" t="n">
        <v>8</v>
      </c>
      <c r="B12" s="31" t="inlineStr">
        <is>
          <t>Watchdog Timer</t>
        </is>
      </c>
      <c r="C12" s="33" t="n">
        <v>268533760</v>
      </c>
      <c r="D12" s="29" t="inlineStr">
        <is>
          <t>WDT_IRQ</t>
        </is>
      </c>
      <c r="E12" s="32" t="inlineStr">
        <is>
          <t>Watchdog timeout (semantics TBC)</t>
        </is>
      </c>
      <c r="F12" s="56" t="inlineStr">
        <is>
          <t>TBC</t>
        </is>
      </c>
      <c r="G12" s="56" t="inlineStr">
        <is>
          <t>TBC</t>
        </is>
      </c>
      <c r="H12" s="54" t="inlineStr">
        <is>
          <t>TBD</t>
        </is>
      </c>
      <c r="I12" s="39" t="inlineStr">
        <is>
          <t>RESERVED</t>
        </is>
      </c>
      <c r="J12" s="32" t="inlineStr">
        <is>
          <t>plan s4.3, s19</t>
        </is>
      </c>
      <c r="K12" s="32" t="inlineStr">
        <is>
          <t>Proposed ID for a block with no register map and no agreed scope.</t>
        </is>
      </c>
    </row>
    <row customHeight="1" ht="46" r="13">
      <c r="A13" s="25" t="inlineStr">
        <is>
          <t>-</t>
        </is>
      </c>
      <c r="B13" s="21" t="inlineStr">
        <is>
          <t>Packet Parser / Classifier</t>
        </is>
      </c>
      <c r="C13" s="22" t="n">
        <v>268525568</v>
      </c>
      <c r="D13" s="19" t="inlineStr">
        <is>
          <t>(none proposed)</t>
        </is>
      </c>
      <c r="E13" s="4" t="inlineStr">
        <is>
          <t>Pass-through data-plane block. Default is no interrupt; NTE raises the event instead.</t>
        </is>
      </c>
      <c r="F13" s="52" t="inlineStr">
        <is>
          <t>n/a by default</t>
        </is>
      </c>
      <c r="G13" s="52" t="inlineStr">
        <is>
          <t>n/a</t>
        </is>
      </c>
      <c r="H13" s="50" t="inlineStr">
        <is>
          <t>n/a</t>
        </is>
      </c>
      <c r="I13" s="42" t="inlineStr">
        <is>
          <t>PROPOSED</t>
        </is>
      </c>
      <c r="J13" s="4" t="inlineStr">
        <is>
          <t>plan s10</t>
        </is>
      </c>
      <c r="K13" s="4" t="inlineStr">
        <is>
          <t>Listed with no IRQ so the omission is a decision on record rather than a gap.</t>
        </is>
      </c>
    </row>
    <row customHeight="1" ht="46" r="14">
      <c r="A14" s="36" t="inlineStr">
        <is>
          <t>-</t>
        </is>
      </c>
      <c r="B14" s="31" t="inlineStr">
        <is>
          <t>UART</t>
        </is>
      </c>
      <c r="C14" s="33" t="n">
        <v>268435456</v>
      </c>
      <c r="D14" s="29" t="inlineStr">
        <is>
          <t>(none)</t>
        </is>
      </c>
      <c r="E14" s="32" t="inlineStr">
        <is>
          <t>TX-only implementation; software polls LSR.THRE / LSR.TEMT. No UART interrupt is used.</t>
        </is>
      </c>
      <c r="F14" s="56" t="inlineStr">
        <is>
          <t>IER @ 0x10000004 exists in the IP but is not wired</t>
        </is>
      </c>
      <c r="G14" s="56" t="inlineStr">
        <is>
          <t>n/a</t>
        </is>
      </c>
      <c r="H14" s="54" t="inlineStr">
        <is>
          <t>n/a</t>
        </is>
      </c>
      <c r="I14" s="40" t="inlineStr">
        <is>
          <t>VERIFIED</t>
        </is>
      </c>
      <c r="J14" s="32" t="inlineStr">
        <is>
          <t>plan s16.4; Phase3 s6.2</t>
        </is>
      </c>
      <c r="K14" s="32" t="inlineStr">
        <is>
          <t>Phase-3 PASS criteria include uart_irq==0. Keep it that way until the RX path is designed.</t>
        </is>
      </c>
    </row>
    <row customHeight="1" ht="46" r="15">
      <c r="A15" s="25" t="inlineStr">
        <is>
          <t>-</t>
        </is>
      </c>
      <c r="B15" s="21" t="inlineStr">
        <is>
          <t>CRC-32/FCS</t>
        </is>
      </c>
      <c r="C15" s="22" t="n">
        <v>268476416</v>
      </c>
      <c r="D15" s="19" t="inlineStr">
        <is>
          <t>(TBC)</t>
        </is>
      </c>
      <c r="E15" s="4" t="inlineStr">
        <is>
          <t>CRC result is packet-associated, so the natural event is the NTE packet-completion interrupt.</t>
        </is>
      </c>
      <c r="F15" s="52" t="inlineStr">
        <is>
          <t>TBC</t>
        </is>
      </c>
      <c r="G15" s="52" t="inlineStr">
        <is>
          <t>TBC</t>
        </is>
      </c>
      <c r="H15" s="50" t="inlineStr">
        <is>
          <t>TBD</t>
        </is>
      </c>
      <c r="I15" s="42" t="inlineStr">
        <is>
          <t>PROPOSED</t>
        </is>
      </c>
      <c r="J15" s="4" t="inlineStr">
        <is>
          <t>plan s8</t>
        </is>
      </c>
      <c r="K15" s="4" t="inlineStr">
        <is>
          <t>Plan s8 requires the CRC result to be associated with the correct packet completion event. Decide whether CRC has its own line or reports through NTE.IRQ_STATUS.</t>
        </is>
      </c>
    </row>
    <row customHeight="1" ht="46" r="16">
      <c r="A16" s="36" t="inlineStr">
        <is>
          <t>-</t>
        </is>
      </c>
      <c r="B16" s="31" t="inlineStr">
        <is>
          <t>PRNG / SPI</t>
        </is>
      </c>
      <c r="C16" s="36" t="inlineStr">
        <is>
          <t>n/a (see sheet 1)</t>
        </is>
      </c>
      <c r="D16" s="29" t="inlineStr">
        <is>
          <t>(TBC)</t>
        </is>
      </c>
      <c r="E16" s="32" t="inlineStr">
        <is>
          <t>TBC</t>
        </is>
      </c>
      <c r="F16" s="56" t="inlineStr">
        <is>
          <t>TBC</t>
        </is>
      </c>
      <c r="G16" s="56" t="inlineStr">
        <is>
          <t>TBC</t>
        </is>
      </c>
      <c r="H16" s="54" t="inlineStr">
        <is>
          <t>TBD</t>
        </is>
      </c>
      <c r="I16" s="39" t="inlineStr">
        <is>
          <t>RESERVED</t>
        </is>
      </c>
      <c r="J16" s="32" t="inlineStr">
        <is>
          <t>plan s4.3</t>
        </is>
      </c>
      <c r="K16" s="32" t="inlineStr">
        <is>
          <t>Optional blocks - no interrupt proposed.</t>
        </is>
      </c>
    </row>
    <row customHeight="1" ht="46" r="17">
      <c r="A17" s="25" t="inlineStr">
        <is>
          <t>-</t>
        </is>
      </c>
      <c r="B17" s="21" t="inlineStr">
        <is>
          <t>VeeR PIC control registers</t>
        </is>
      </c>
      <c r="C17" s="25" t="inlineStr">
        <is>
          <t>internal to CPU</t>
        </is>
      </c>
      <c r="D17" s="19" t="inlineStr">
        <is>
          <t>n/a</t>
        </is>
      </c>
      <c r="E17" s="4" t="inlineStr">
        <is>
          <t>The PIC is configured through the processor's own control/status space, not through the AHB fabric in this map.</t>
        </is>
      </c>
      <c r="F17" s="52" t="inlineStr">
        <is>
          <t>TBC against the VeeR EL2 PRM</t>
        </is>
      </c>
      <c r="G17" s="52" t="inlineStr">
        <is>
          <t>TBC</t>
        </is>
      </c>
      <c r="H17" s="50" t="inlineStr">
        <is>
          <t>n/a</t>
        </is>
      </c>
      <c r="I17" s="39" t="inlineStr">
        <is>
          <t>RESERVED</t>
        </is>
      </c>
      <c r="J17" s="4" t="inlineStr">
        <is>
          <t>v3 s12.1</t>
        </is>
      </c>
      <c r="K17" s="4" t="inlineStr">
        <is>
          <t>OPEN: the PIC / CLINT base address is not stated in any project document reviewed. Confirm against the VeeR EL2 PRM before writing software that touches PIC configuration.</t>
        </is>
      </c>
    </row>
  </sheetData>
  <autoFilter ref="A4:K17"/>
  <mergeCells count="2">
    <mergeCell ref="A2:K2"/>
    <mergeCell ref="A1:K1"/>
  </mergeCells>
  <printOptions horizontalCentered="1"/>
  <pageMargins bottom="0.4" footer="0.5" header="0.5" left="0.3" right="0.3" top="0.4"/>
  <pageSetup fitToHeight="0" fitToWidth="1" orientation="landscape"/>
  <headerFooter>
    <oddHeader/>
    <oddFooter>&amp;C&amp;8 &amp;A  |  Rev B (Re-pitched MMIO aperture, draft for Architecture Freeze)  |  Page &amp;P of &amp;N</oddFooter>
    <evenHeader/>
    <evenFooter/>
    <firstHeader/>
    <firstFooter/>
  </headerFooter>
</worksheet>
</file>

<file path=xl/worksheets/sheet7.xml><?xml version="1.0" encoding="utf-8"?>
<worksheet xmlns="http://schemas.openxmlformats.org/spreadsheetml/2006/main">
  <sheetPr>
    <tabColor rgb="007030A0"/>
    <outlinePr summaryBelow="1" summaryRight="1"/>
    <pageSetUpPr fitToPage="1"/>
  </sheetPr>
  <dimension ref="A1:M40"/>
  <sheetViews>
    <sheetView showGridLines="0" workbookViewId="0">
      <pane activePane="bottomRight" state="frozen" topLeftCell="C5" xSplit="2" ySplit="4"/>
      <selection pane="topRight"/>
      <selection pane="bottomLeft"/>
      <selection activeCell="A1" pane="bottomRight" sqref="A1"/>
    </sheetView>
  </sheetViews>
  <sheetFormatPr baseColWidth="8" defaultRowHeight="15"/>
  <cols>
    <col customWidth="1" max="1" min="1" width="10"/>
    <col customWidth="1" max="2" min="2" width="28"/>
    <col customWidth="1" max="3" min="3" width="14"/>
    <col customWidth="1" max="4" min="4" width="16"/>
    <col customWidth="1" max="5" min="5" width="16"/>
    <col customWidth="1" max="6" min="6" width="17"/>
    <col customWidth="1" max="7" min="7" width="15"/>
    <col customWidth="1" max="8" min="8" width="15"/>
    <col customWidth="1" max="9" min="9" width="15"/>
    <col customWidth="1" max="10" min="10" width="18"/>
    <col customWidth="1" max="11" min="11" width="30"/>
    <col customWidth="1" max="12" min="12" width="46"/>
    <col customWidth="1" max="13" min="13" width="11"/>
  </cols>
  <sheetData>
    <row customHeight="1" ht="22" r="1">
      <c r="A1" s="15" t="inlineStr">
        <is>
          <t>6. Test-Plan Probe Addresses</t>
        </is>
      </c>
    </row>
    <row customHeight="1" ht="40" r="2">
      <c r="A2" s="16" t="inlineStr">
        <is>
          <t>Boundary stimulus for the test plan. The two memory windows and every peripheral window get a first-word, mid-window, last-word, base-1 and end+1 probe; peripheral windows also get a guard probe. The base-1 probe now always lands in the preceding GUARD window, which must return ERROR - that is the test that proves the guard does its job. Guard windows get their own rows and are pure negative-test targets.</t>
        </is>
      </c>
      <c r="B2" s="17" t="n"/>
      <c r="C2" s="17" t="n"/>
      <c r="D2" s="17" t="n"/>
      <c r="E2" s="17" t="n"/>
      <c r="F2" s="17" t="n"/>
      <c r="G2" s="17" t="n"/>
      <c r="H2" s="17" t="n"/>
      <c r="I2" s="17" t="n"/>
      <c r="J2" s="17" t="n"/>
      <c r="K2" s="17" t="n"/>
      <c r="L2" s="17" t="n"/>
      <c r="M2" s="17" t="n"/>
    </row>
    <row customHeight="1" ht="34" r="4">
      <c r="A4" s="18" t="inlineStr">
        <is>
          <t>Window ID</t>
        </is>
      </c>
      <c r="B4" s="18" t="inlineStr">
        <is>
          <t>Block</t>
        </is>
      </c>
      <c r="C4" s="18" t="inlineStr">
        <is>
          <t>Base Address</t>
        </is>
      </c>
      <c r="D4" s="18" t="inlineStr">
        <is>
          <t>Last Valid Address</t>
        </is>
      </c>
      <c r="E4" s="18" t="inlineStr">
        <is>
          <t>Probe A: Base + 0x00</t>
        </is>
      </c>
      <c r="F4" s="18" t="inlineStr">
        <is>
          <t>Probe B: Base + 0x3C</t>
        </is>
      </c>
      <c r="G4" s="18" t="inlineStr">
        <is>
          <t>Probe C: Window End</t>
        </is>
      </c>
      <c r="H4" s="18" t="inlineStr">
        <is>
          <t>Probe D: Base - 1</t>
        </is>
      </c>
      <c r="I4" s="18" t="inlineStr">
        <is>
          <t>Probe E: End + 1</t>
        </is>
      </c>
      <c r="J4" s="18" t="inlineStr">
        <is>
          <t>Probe F: Guard End</t>
        </is>
      </c>
      <c r="K4" s="18" t="inlineStr">
        <is>
          <t>Expected Slave for A / B / C</t>
        </is>
      </c>
      <c r="L4" s="18" t="inlineStr">
        <is>
          <t>Expected Behaviour for D / E / F</t>
        </is>
      </c>
      <c r="M4" s="18" t="inlineStr">
        <is>
          <t>Priority</t>
        </is>
      </c>
    </row>
    <row customHeight="1" ht="46" r="5">
      <c r="A5" s="25" t="inlineStr">
        <is>
          <t>MEM-01</t>
        </is>
      </c>
      <c r="B5" s="21" t="inlineStr">
        <is>
          <t>Code - IMEM (u_imem)</t>
        </is>
      </c>
      <c r="C5" s="22" t="n">
        <v>0</v>
      </c>
      <c r="D5" s="22" t="n">
        <v>32767</v>
      </c>
      <c r="E5" s="22" t="n">
        <v>0</v>
      </c>
      <c r="F5" s="22" t="n">
        <v>60</v>
      </c>
      <c r="G5" s="22" t="n">
        <v>32767</v>
      </c>
      <c r="H5" s="22" t="n"/>
      <c r="I5" s="22" t="n">
        <v>32768</v>
      </c>
      <c r="J5" s="22" t="n">
        <v>32769</v>
      </c>
      <c r="K5" s="4" t="inlineStr">
        <is>
          <t>ahb_sram, imem port (DECODED - VERIFIED)</t>
        </is>
      </c>
      <c r="L5" s="4" t="inlineStr">
        <is>
          <t>Base-1 does not exist - 0x00000000 is the lowest address in the map, so probe D is deliberately empty. End+1 = 0x00008000 and guard = 0x00008001 both land in the IMEM upper hole (GAP-01) and must return ERROR. This row proves the IMEM decode is a 32 KB size match and not a bare base compare.</t>
        </is>
      </c>
      <c r="M5" s="25" t="inlineStr">
        <is>
          <t>P1</t>
        </is>
      </c>
    </row>
    <row customHeight="1" ht="46" r="6">
      <c r="A6" s="36" t="inlineStr">
        <is>
          <t>MEM-02</t>
        </is>
      </c>
      <c r="B6" s="31" t="inlineStr">
        <is>
          <t>Data - DMEM (u_dmem)</t>
        </is>
      </c>
      <c r="C6" s="33" t="n">
        <v>65536</v>
      </c>
      <c r="D6" s="33" t="n">
        <v>98303</v>
      </c>
      <c r="E6" s="33" t="n">
        <v>65536</v>
      </c>
      <c r="F6" s="33" t="n">
        <v>65596</v>
      </c>
      <c r="G6" s="33" t="n">
        <v>98303</v>
      </c>
      <c r="H6" s="33" t="n">
        <v>65535</v>
      </c>
      <c r="I6" s="33" t="n">
        <v>98304</v>
      </c>
      <c r="J6" s="33" t="n">
        <v>98305</v>
      </c>
      <c r="K6" s="32" t="inlineStr">
        <is>
          <t>ahb_sram, dmem port (DECODED - VERIFIED)</t>
        </is>
      </c>
      <c r="L6" s="32" t="inlineStr">
        <is>
          <t>Base-1 = 0x0000FFFF is in the IMEM upper hole and must return ERROR, not DMEM. End+1 = 0x00018000 and guard = 0x00018001 are in GAP-02 and must return ERROR. Also the DMA destination window, so the DMA out-of-range test uses the same three negative probes.</t>
        </is>
      </c>
      <c r="M6" s="36" t="inlineStr">
        <is>
          <t>P1</t>
        </is>
      </c>
    </row>
    <row customHeight="1" ht="46" r="7">
      <c r="A7" s="25" t="inlineStr">
        <is>
          <t>MMIO-01</t>
        </is>
      </c>
      <c r="B7" s="21" t="inlineStr">
        <is>
          <t>UART</t>
        </is>
      </c>
      <c r="C7" s="22" t="n">
        <v>268435456</v>
      </c>
      <c r="D7" s="22" t="n">
        <v>268439551</v>
      </c>
      <c r="E7" s="22" t="n">
        <v>268435456</v>
      </c>
      <c r="F7" s="22" t="n">
        <v>268435516</v>
      </c>
      <c r="G7" s="22" t="n">
        <v>268439551</v>
      </c>
      <c r="H7" s="22" t="n">
        <v>268435455</v>
      </c>
      <c r="I7" s="22" t="n">
        <v>268439552</v>
      </c>
      <c r="J7" s="22" t="n">
        <v>268443647</v>
      </c>
      <c r="K7" s="4" t="inlineStr">
        <is>
          <t>uart port -&gt; bridge -&gt; AXI -&gt; uart_axi_slave</t>
        </is>
      </c>
      <c r="L7" s="4" t="inlineStr">
        <is>
          <t>0x0FFFFFFF and 0x10001000 must both miss UART. 0x10001000 is GRD-01, the new guard, so it must also return ERROR. This row is the regression guard for the Rev B re-pitch: it must behave identically to Rev A.</t>
        </is>
      </c>
      <c r="M7" s="25" t="inlineStr">
        <is>
          <t>P1</t>
        </is>
      </c>
    </row>
    <row customHeight="1" ht="46" r="8">
      <c r="A8" s="36" t="inlineStr">
        <is>
          <t>MMIO-02</t>
        </is>
      </c>
      <c r="B8" s="31" t="inlineStr">
        <is>
          <t>Timer</t>
        </is>
      </c>
      <c r="C8" s="33" t="n">
        <v>268443648</v>
      </c>
      <c r="D8" s="33" t="n">
        <v>268447743</v>
      </c>
      <c r="E8" s="33" t="n">
        <v>268443648</v>
      </c>
      <c r="F8" s="33" t="n">
        <v>268443708</v>
      </c>
      <c r="G8" s="33" t="n">
        <v>268447743</v>
      </c>
      <c r="H8" s="33" t="n">
        <v>268443647</v>
      </c>
      <c r="I8" s="33" t="n">
        <v>268447744</v>
      </c>
      <c r="J8" s="33" t="n">
        <v>268451839</v>
      </c>
      <c r="K8" s="32" t="inlineStr">
        <is>
          <t>default ERROR slave (today)</t>
        </is>
      </c>
      <c r="L8" s="32" t="inlineStr">
        <is>
          <t>Base-1 = 0x10001FFF is GRD-01, a guard window - it must return ERROR, not Timer. End+1 = 0x10003000 is GRD-02's guard - also ERROR. Today all six probes return ERROR; the M4 gate for AES is that A, B and C stop returning ERROR while D, E and F keep doing so.</t>
        </is>
      </c>
      <c r="M8" s="36" t="inlineStr">
        <is>
          <t>P1</t>
        </is>
      </c>
    </row>
    <row customHeight="1" ht="46" r="9">
      <c r="A9" s="25" t="inlineStr">
        <is>
          <t>MMIO-03</t>
        </is>
      </c>
      <c r="B9" s="21" t="inlineStr">
        <is>
          <t>GPIO</t>
        </is>
      </c>
      <c r="C9" s="22" t="n">
        <v>268451840</v>
      </c>
      <c r="D9" s="22" t="n">
        <v>268455935</v>
      </c>
      <c r="E9" s="22" t="n">
        <v>268451840</v>
      </c>
      <c r="F9" s="22" t="n">
        <v>268451900</v>
      </c>
      <c r="G9" s="22" t="n">
        <v>268455935</v>
      </c>
      <c r="H9" s="22" t="n">
        <v>268451839</v>
      </c>
      <c r="I9" s="22" t="n">
        <v>268455936</v>
      </c>
      <c r="J9" s="22" t="n">
        <v>268460031</v>
      </c>
      <c r="K9" s="4" t="inlineStr">
        <is>
          <t>default ERROR slave (today)</t>
        </is>
      </c>
      <c r="L9" s="4" t="inlineStr">
        <is>
          <t>Base-1 = 0x10003FFF is GRD-02, a guard window - it must return ERROR, not GPIO. End+1 = 0x10005000 is GRD-03's guard - also ERROR. Today all six probes return ERROR; the M4 gate for AES is that A, B and C stop returning ERROR while D, E and F keep doing so.</t>
        </is>
      </c>
      <c r="M9" s="25" t="inlineStr">
        <is>
          <t>P1</t>
        </is>
      </c>
    </row>
    <row customHeight="1" ht="46" r="10">
      <c r="A10" s="36" t="inlineStr">
        <is>
          <t>MMIO-04</t>
        </is>
      </c>
      <c r="B10" s="31" t="inlineStr">
        <is>
          <t>Network Telemetry Engine (NTE)</t>
        </is>
      </c>
      <c r="C10" s="33" t="n">
        <v>268460032</v>
      </c>
      <c r="D10" s="33" t="n">
        <v>268464127</v>
      </c>
      <c r="E10" s="33" t="n">
        <v>268460032</v>
      </c>
      <c r="F10" s="33" t="n">
        <v>268460092</v>
      </c>
      <c r="G10" s="33" t="n">
        <v>268464127</v>
      </c>
      <c r="H10" s="33" t="n">
        <v>268460031</v>
      </c>
      <c r="I10" s="33" t="n">
        <v>268464128</v>
      </c>
      <c r="J10" s="33" t="n">
        <v>268468223</v>
      </c>
      <c r="K10" s="32" t="inlineStr">
        <is>
          <t>default ERROR slave (today)</t>
        </is>
      </c>
      <c r="L10" s="32" t="inlineStr">
        <is>
          <t>Base-1 = 0x10005FFF is GRD-03, a guard window - it must return ERROR, not Network Telemetry Engine (NTE). End+1 = 0x10007000 is GRD-04's guard - also ERROR. Today all six probes return ERROR; the M4 gate for AES is that A, B and C stop returning ERROR while D, E and F keep doing so.</t>
        </is>
      </c>
      <c r="M10" s="36" t="inlineStr">
        <is>
          <t>P1</t>
        </is>
      </c>
    </row>
    <row customHeight="1" ht="46" r="11">
      <c r="A11" s="25" t="inlineStr">
        <is>
          <t>MMIO-05</t>
        </is>
      </c>
      <c r="B11" s="21" t="inlineStr">
        <is>
          <t>AES-128 Accelerator</t>
        </is>
      </c>
      <c r="C11" s="22" t="n">
        <v>268468224</v>
      </c>
      <c r="D11" s="22" t="n">
        <v>268472319</v>
      </c>
      <c r="E11" s="22" t="n">
        <v>268468224</v>
      </c>
      <c r="F11" s="22" t="n">
        <v>268468284</v>
      </c>
      <c r="G11" s="22" t="n">
        <v>268472319</v>
      </c>
      <c r="H11" s="22" t="n">
        <v>268468223</v>
      </c>
      <c r="I11" s="22" t="n">
        <v>268472320</v>
      </c>
      <c r="J11" s="22" t="n">
        <v>268476415</v>
      </c>
      <c r="K11" s="4" t="inlineStr">
        <is>
          <t>default ERROR slave (today)</t>
        </is>
      </c>
      <c r="L11" s="4" t="inlineStr">
        <is>
          <t>Base-1 = 0x10007FFF is GRD-04, a guard window - it must return ERROR, not AES-128 Accelerator. End+1 = 0x10009000 is GRD-05's guard - also ERROR. Today all six probes return ERROR; the M4 gate for AES is that A, B and C stop returning ERROR while D, E and F keep doing so.</t>
        </is>
      </c>
      <c r="M11" s="25" t="inlineStr">
        <is>
          <t>P1</t>
        </is>
      </c>
    </row>
    <row customHeight="1" ht="46" r="12">
      <c r="A12" s="36" t="inlineStr">
        <is>
          <t>MMIO-06</t>
        </is>
      </c>
      <c r="B12" s="31" t="inlineStr">
        <is>
          <t>CRC-32 / FCS Checker</t>
        </is>
      </c>
      <c r="C12" s="33" t="n">
        <v>268476416</v>
      </c>
      <c r="D12" s="33" t="n">
        <v>268480511</v>
      </c>
      <c r="E12" s="33" t="n">
        <v>268476416</v>
      </c>
      <c r="F12" s="33" t="n">
        <v>268476476</v>
      </c>
      <c r="G12" s="33" t="n">
        <v>268480511</v>
      </c>
      <c r="H12" s="33" t="n">
        <v>268476415</v>
      </c>
      <c r="I12" s="33" t="n">
        <v>268480512</v>
      </c>
      <c r="J12" s="33" t="n">
        <v>268484607</v>
      </c>
      <c r="K12" s="32" t="inlineStr">
        <is>
          <t>default ERROR slave (today)</t>
        </is>
      </c>
      <c r="L12" s="32" t="inlineStr">
        <is>
          <t>Base-1 = 0x10009FFF is GRD-05, a guard window - it must return ERROR, not CRC-32 / FCS Checker. End+1 = 0x1000B000 is GRD-06's guard - also ERROR. Today all six probes return ERROR; the M4 gate for AES is that A, B and C stop returning ERROR while D, E and F keep doing so.</t>
        </is>
      </c>
      <c r="M12" s="36" t="inlineStr">
        <is>
          <t>P1</t>
        </is>
      </c>
    </row>
    <row customHeight="1" ht="46" r="13">
      <c r="A13" s="25" t="inlineStr">
        <is>
          <t>MMIO-07</t>
        </is>
      </c>
      <c r="B13" s="21" t="inlineStr">
        <is>
          <t>Ethernet MAC</t>
        </is>
      </c>
      <c r="C13" s="22" t="n">
        <v>268484608</v>
      </c>
      <c r="D13" s="22" t="n">
        <v>268488703</v>
      </c>
      <c r="E13" s="22" t="n">
        <v>268484608</v>
      </c>
      <c r="F13" s="22" t="n">
        <v>268484668</v>
      </c>
      <c r="G13" s="22" t="n">
        <v>268488703</v>
      </c>
      <c r="H13" s="22" t="n">
        <v>268484607</v>
      </c>
      <c r="I13" s="22" t="n">
        <v>268488704</v>
      </c>
      <c r="J13" s="22" t="n">
        <v>268492799</v>
      </c>
      <c r="K13" s="4" t="inlineStr">
        <is>
          <t>default ERROR slave (not yet implemented)</t>
        </is>
      </c>
      <c r="L13" s="4" t="inlineStr">
        <is>
          <t>Base-1 = 0x1000BFFF is GRD-06, a guard window - it must return ERROR, not Ethernet MAC. End+1 = 0x1000D000 is GRD-07's guard - also ERROR. Today all six probes return ERROR; the M4 gate for AES is that A, B and C stop returning ERROR while D, E and F keep doing so.</t>
        </is>
      </c>
      <c r="M13" s="25" t="inlineStr">
        <is>
          <t>P3</t>
        </is>
      </c>
    </row>
    <row customHeight="1" ht="46" r="14">
      <c r="A14" s="36" t="inlineStr">
        <is>
          <t>MMIO-08</t>
        </is>
      </c>
      <c r="B14" s="31" t="inlineStr">
        <is>
          <t>Hardware Timestamp Unit</t>
        </is>
      </c>
      <c r="C14" s="33" t="n">
        <v>268492800</v>
      </c>
      <c r="D14" s="33" t="n">
        <v>268496895</v>
      </c>
      <c r="E14" s="33" t="n">
        <v>268492800</v>
      </c>
      <c r="F14" s="33" t="n">
        <v>268492860</v>
      </c>
      <c r="G14" s="33" t="n">
        <v>268496895</v>
      </c>
      <c r="H14" s="33" t="n">
        <v>268492799</v>
      </c>
      <c r="I14" s="33" t="n">
        <v>268496896</v>
      </c>
      <c r="J14" s="33" t="n">
        <v>268500991</v>
      </c>
      <c r="K14" s="32" t="inlineStr">
        <is>
          <t>default ERROR slave (not yet implemented)</t>
        </is>
      </c>
      <c r="L14" s="32" t="inlineStr">
        <is>
          <t>Base-1 = 0x1000DFFF is GRD-07, a guard window - it must return ERROR, not Hardware Timestamp Unit. End+1 = 0x1000F000 is GRD-08's guard - also ERROR. Today all six probes return ERROR; the M4 gate for AES is that A, B and C stop returning ERROR while D, E and F keep doing so.</t>
        </is>
      </c>
      <c r="M14" s="36" t="inlineStr">
        <is>
          <t>P3</t>
        </is>
      </c>
    </row>
    <row customHeight="1" ht="46" r="15">
      <c r="A15" s="25" t="inlineStr">
        <is>
          <t>MMIO-09</t>
        </is>
      </c>
      <c r="B15" s="21" t="inlineStr">
        <is>
          <t>Packet / Flow Buffer</t>
        </is>
      </c>
      <c r="C15" s="22" t="n">
        <v>268500992</v>
      </c>
      <c r="D15" s="22" t="n">
        <v>268505087</v>
      </c>
      <c r="E15" s="22" t="n">
        <v>268500992</v>
      </c>
      <c r="F15" s="22" t="n">
        <v>268501052</v>
      </c>
      <c r="G15" s="22" t="n">
        <v>268505087</v>
      </c>
      <c r="H15" s="22" t="n">
        <v>268500991</v>
      </c>
      <c r="I15" s="22" t="n">
        <v>268505088</v>
      </c>
      <c r="J15" s="22" t="n">
        <v>268509183</v>
      </c>
      <c r="K15" s="4" t="inlineStr">
        <is>
          <t>default ERROR slave (not yet implemented)</t>
        </is>
      </c>
      <c r="L15" s="4" t="inlineStr">
        <is>
          <t>Base-1 = 0x1000FFFF is GRD-08, a guard window - it must return ERROR, not Packet / Flow Buffer. End+1 = 0x10011000 is GRD-09's guard - also ERROR. Today all six probes return ERROR; the M4 gate for AES is that A, B and C stop returning ERROR while D, E and F keep doing so.</t>
        </is>
      </c>
      <c r="M15" s="25" t="inlineStr">
        <is>
          <t>P3</t>
        </is>
      </c>
    </row>
    <row customHeight="1" ht="46" r="16">
      <c r="A16" s="36" t="inlineStr">
        <is>
          <t>MMIO-10</t>
        </is>
      </c>
      <c r="B16" s="31" t="inlineStr">
        <is>
          <t>DMA Controller</t>
        </is>
      </c>
      <c r="C16" s="33" t="n">
        <v>268509184</v>
      </c>
      <c r="D16" s="33" t="n">
        <v>268513279</v>
      </c>
      <c r="E16" s="33" t="n">
        <v>268509184</v>
      </c>
      <c r="F16" s="33" t="n">
        <v>268509244</v>
      </c>
      <c r="G16" s="33" t="n">
        <v>268513279</v>
      </c>
      <c r="H16" s="33" t="n">
        <v>268509183</v>
      </c>
      <c r="I16" s="33" t="n">
        <v>268513280</v>
      </c>
      <c r="J16" s="33" t="n">
        <v>268517375</v>
      </c>
      <c r="K16" s="32" t="inlineStr">
        <is>
          <t>default ERROR slave (not yet implemented)</t>
        </is>
      </c>
      <c r="L16" s="32" t="inlineStr">
        <is>
          <t>Base-1 = 0x10011FFF is GRD-09, a guard window - it must return ERROR, not DMA Controller. End+1 = 0x10013000 is GRD-10's guard - also ERROR. Today all six probes return ERROR; the M4 gate for AES is that A, B and C stop returning ERROR while D, E and F keep doing so.</t>
        </is>
      </c>
      <c r="M16" s="36" t="inlineStr">
        <is>
          <t>P3</t>
        </is>
      </c>
    </row>
    <row customHeight="1" ht="46" r="17">
      <c r="A17" s="25" t="inlineStr">
        <is>
          <t>MMIO-11</t>
        </is>
      </c>
      <c r="B17" s="21" t="inlineStr">
        <is>
          <t>SHA-256 Accelerator</t>
        </is>
      </c>
      <c r="C17" s="22" t="n">
        <v>268517376</v>
      </c>
      <c r="D17" s="22" t="n">
        <v>268521471</v>
      </c>
      <c r="E17" s="22" t="n">
        <v>268517376</v>
      </c>
      <c r="F17" s="22" t="n">
        <v>268517436</v>
      </c>
      <c r="G17" s="22" t="n">
        <v>268521471</v>
      </c>
      <c r="H17" s="22" t="n">
        <v>268517375</v>
      </c>
      <c r="I17" s="22" t="n">
        <v>268521472</v>
      </c>
      <c r="J17" s="22" t="n">
        <v>268525567</v>
      </c>
      <c r="K17" s="4" t="inlineStr">
        <is>
          <t>default ERROR slave (not yet implemented)</t>
        </is>
      </c>
      <c r="L17" s="4" t="inlineStr">
        <is>
          <t>Base-1 = 0x10013FFF is GRD-10, a guard window - it must return ERROR, not SHA-256 Accelerator. End+1 = 0x10015000 is GRD-11's guard - also ERROR. Today all six probes return ERROR; the M4 gate for AES is that A, B and C stop returning ERROR while D, E and F keep doing so.</t>
        </is>
      </c>
      <c r="M17" s="25" t="inlineStr">
        <is>
          <t>P3</t>
        </is>
      </c>
    </row>
    <row customHeight="1" ht="46" r="18">
      <c r="A18" s="36" t="inlineStr">
        <is>
          <t>MMIO-12</t>
        </is>
      </c>
      <c r="B18" s="31" t="inlineStr">
        <is>
          <t>Packet Parser / Classifier</t>
        </is>
      </c>
      <c r="C18" s="33" t="n">
        <v>268525568</v>
      </c>
      <c r="D18" s="33" t="n">
        <v>268529663</v>
      </c>
      <c r="E18" s="33" t="n">
        <v>268525568</v>
      </c>
      <c r="F18" s="33" t="n">
        <v>268525628</v>
      </c>
      <c r="G18" s="33" t="n">
        <v>268529663</v>
      </c>
      <c r="H18" s="33" t="n">
        <v>268525567</v>
      </c>
      <c r="I18" s="33" t="n">
        <v>268529664</v>
      </c>
      <c r="J18" s="33" t="n">
        <v>268533759</v>
      </c>
      <c r="K18" s="32" t="inlineStr">
        <is>
          <t>default ERROR slave (not yet implemented)</t>
        </is>
      </c>
      <c r="L18" s="32" t="inlineStr">
        <is>
          <t>Base-1 = 0x10015FFF is GRD-11, a guard window - it must return ERROR, not Packet Parser / Classifier. End+1 = 0x10017000 is GRD-12's guard - also ERROR. Today all six probes return ERROR; the M4 gate for AES is that A, B and C stop returning ERROR while D, E and F keep doing so.</t>
        </is>
      </c>
      <c r="M18" s="36" t="inlineStr">
        <is>
          <t>P3</t>
        </is>
      </c>
    </row>
    <row customHeight="1" ht="46" r="19">
      <c r="A19" s="25" t="inlineStr">
        <is>
          <t>MMIO-13</t>
        </is>
      </c>
      <c r="B19" s="21" t="inlineStr">
        <is>
          <t>Watchdog Timer</t>
        </is>
      </c>
      <c r="C19" s="22" t="n">
        <v>268533760</v>
      </c>
      <c r="D19" s="22" t="n">
        <v>268537855</v>
      </c>
      <c r="E19" s="22" t="n">
        <v>268533760</v>
      </c>
      <c r="F19" s="22" t="n">
        <v>268533820</v>
      </c>
      <c r="G19" s="22" t="n">
        <v>268537855</v>
      </c>
      <c r="H19" s="22" t="n">
        <v>268533759</v>
      </c>
      <c r="I19" s="22" t="n">
        <v>268537856</v>
      </c>
      <c r="J19" s="22" t="n">
        <v>268541951</v>
      </c>
      <c r="K19" s="4" t="inlineStr">
        <is>
          <t>default ERROR slave (not yet implemented)</t>
        </is>
      </c>
      <c r="L19" s="4" t="inlineStr">
        <is>
          <t>Base-1 = 0x10017FFF is GRD-12, a guard window - it must return ERROR, not Watchdog Timer. End+1 = 0x10019000 is GRD-13's guard - also ERROR. Today all six probes return ERROR; the M4 gate for AES is that A, B and C stop returning ERROR while D, E and F keep doing so.</t>
        </is>
      </c>
      <c r="M19" s="25" t="inlineStr">
        <is>
          <t>P3</t>
        </is>
      </c>
    </row>
    <row customHeight="1" ht="46" r="20">
      <c r="A20" s="36" t="inlineStr">
        <is>
          <t>MMIO-14</t>
        </is>
      </c>
      <c r="B20" s="31" t="inlineStr">
        <is>
          <t>PRNG</t>
        </is>
      </c>
      <c r="C20" s="33" t="n">
        <v>268541952</v>
      </c>
      <c r="D20" s="33" t="n">
        <v>268546047</v>
      </c>
      <c r="E20" s="33" t="n">
        <v>268541952</v>
      </c>
      <c r="F20" s="33" t="n">
        <v>268542012</v>
      </c>
      <c r="G20" s="33" t="n">
        <v>268546047</v>
      </c>
      <c r="H20" s="33" t="n">
        <v>268541951</v>
      </c>
      <c r="I20" s="33" t="n">
        <v>268546048</v>
      </c>
      <c r="J20" s="33" t="n">
        <v>268550143</v>
      </c>
      <c r="K20" s="32" t="inlineStr">
        <is>
          <t>default ERROR slave (not yet implemented)</t>
        </is>
      </c>
      <c r="L20" s="32" t="inlineStr">
        <is>
          <t>Base-1 = 0x10019FFF is GRD-13, a guard window - it must return ERROR, not PRNG. End+1 = 0x1001B000 is GRD-14's guard - also ERROR. Today all six probes return ERROR; the M4 gate for AES is that A, B and C stop returning ERROR while D, E and F keep doing so.</t>
        </is>
      </c>
      <c r="M20" s="36" t="inlineStr">
        <is>
          <t>P3</t>
        </is>
      </c>
    </row>
    <row customHeight="1" ht="46" r="21">
      <c r="A21" s="25" t="inlineStr">
        <is>
          <t>MMIO-15</t>
        </is>
      </c>
      <c r="B21" s="21" t="inlineStr">
        <is>
          <t>SPI Master</t>
        </is>
      </c>
      <c r="C21" s="22" t="n">
        <v>268550144</v>
      </c>
      <c r="D21" s="22" t="n">
        <v>268554239</v>
      </c>
      <c r="E21" s="22" t="n">
        <v>268550144</v>
      </c>
      <c r="F21" s="22" t="n">
        <v>268550204</v>
      </c>
      <c r="G21" s="22" t="n">
        <v>268554239</v>
      </c>
      <c r="H21" s="22" t="n">
        <v>268550143</v>
      </c>
      <c r="I21" s="22" t="n">
        <v>268554240</v>
      </c>
      <c r="J21" s="22" t="n">
        <v>268558335</v>
      </c>
      <c r="K21" s="4" t="inlineStr">
        <is>
          <t>default ERROR slave (not yet implemented)</t>
        </is>
      </c>
      <c r="L21" s="4" t="inlineStr">
        <is>
          <t>Base-1 = 0x1001BFFF is GRD-14, a guard window - it must return ERROR, not SPI Master. End+1 = 0x1001D000 is GRD-15's guard - also ERROR. Today all six probes return ERROR; the M4 gate for AES is that A, B and C stop returning ERROR while D, E and F keep doing so.</t>
        </is>
      </c>
      <c r="M21" s="25" t="inlineStr">
        <is>
          <t>P3</t>
        </is>
      </c>
    </row>
    <row customHeight="1" ht="46" r="22">
      <c r="A22" s="36" t="inlineStr">
        <is>
          <t>MMIO-16</t>
        </is>
      </c>
      <c r="B22" s="31" t="inlineStr">
        <is>
          <t>Reserved for expansion</t>
        </is>
      </c>
      <c r="C22" s="33" t="n">
        <v>268558336</v>
      </c>
      <c r="D22" s="33" t="n">
        <v>268562431</v>
      </c>
      <c r="E22" s="33" t="n">
        <v>268558336</v>
      </c>
      <c r="F22" s="33" t="n">
        <v>268558396</v>
      </c>
      <c r="G22" s="33" t="n">
        <v>268562431</v>
      </c>
      <c r="H22" s="33" t="n">
        <v>268558335</v>
      </c>
      <c r="I22" s="33" t="n">
        <v>268562432</v>
      </c>
      <c r="J22" s="33" t="n">
        <v>268566527</v>
      </c>
      <c r="K22" s="32" t="inlineStr">
        <is>
          <t>default ERROR slave (not yet implemented)</t>
        </is>
      </c>
      <c r="L22" s="32" t="inlineStr">
        <is>
          <t>Base-1 = 0x1001DFFF is GRD-15, a guard window - it must return ERROR, not Reserved for expansion. End+1 = 0x1001F000 is GRD-16's guard - also ERROR. Today all six probes return ERROR; the M4 gate for AES is that A, B and C stop returning ERROR while D, E and F keep doing so.</t>
        </is>
      </c>
      <c r="M22" s="36" t="inlineStr">
        <is>
          <t>P3</t>
        </is>
      </c>
    </row>
    <row customHeight="1" ht="46" r="23">
      <c r="A23" s="36" t="inlineStr">
        <is>
          <t>GRD-01</t>
        </is>
      </c>
      <c r="B23" s="31" t="inlineStr">
        <is>
          <t>Guard window (between IMEM and UART)</t>
        </is>
      </c>
      <c r="C23" s="33" t="n">
        <v>268439552</v>
      </c>
      <c r="D23" s="33" t="n">
        <v>268443647</v>
      </c>
      <c r="E23" s="33" t="n">
        <v>268439552</v>
      </c>
      <c r="F23" s="33" t="n">
        <v>268439612</v>
      </c>
      <c r="G23" s="33" t="n">
        <v>268443647</v>
      </c>
      <c r="H23" s="33" t="n">
        <v>268439551</v>
      </c>
      <c r="I23" s="33" t="n">
        <v>268443648</v>
      </c>
      <c r="J23" s="33" t="n">
        <v>268447744</v>
      </c>
      <c r="K23" s="32" t="inlineStr">
        <is>
          <t>default ERROR slave (by design)</t>
        </is>
      </c>
      <c r="L23" s="32" t="inlineStr">
        <is>
          <t>PURE NEGATIVE TARGET. First word 0x10001000, last word 0x10001FFF and the byte after 0x10002000 must ALL return ERROR. Base-1 (0x10000FFF) belongs to nothing - IMEM is at 0x00000000 and must reach it, not this guard. This is the test that proves a stray write cannot alias into the guard.</t>
        </is>
      </c>
      <c r="M23" s="36" t="inlineStr">
        <is>
          <t>P1</t>
        </is>
      </c>
    </row>
    <row customHeight="1" ht="46" r="24">
      <c r="A24" s="25" t="inlineStr">
        <is>
          <t>GRD-02</t>
        </is>
      </c>
      <c r="B24" s="21" t="inlineStr">
        <is>
          <t>Guard window (between UART and Timer)</t>
        </is>
      </c>
      <c r="C24" s="22" t="n">
        <v>268447744</v>
      </c>
      <c r="D24" s="22" t="n">
        <v>268451839</v>
      </c>
      <c r="E24" s="22" t="n">
        <v>268447744</v>
      </c>
      <c r="F24" s="22" t="n">
        <v>268447804</v>
      </c>
      <c r="G24" s="22" t="n">
        <v>268451839</v>
      </c>
      <c r="H24" s="22" t="n">
        <v>268447743</v>
      </c>
      <c r="I24" s="22" t="n">
        <v>268451840</v>
      </c>
      <c r="J24" s="22" t="n">
        <v>268455936</v>
      </c>
      <c r="K24" s="4" t="inlineStr">
        <is>
          <t>default ERROR slave (by design)</t>
        </is>
      </c>
      <c r="L24" s="4" t="inlineStr">
        <is>
          <t>PURE NEGATIVE TARGET. First word 0x10003000, last word 0x10003FFF and the byte after 0x10004000 must ALL return ERROR. Base-1 (0x10002FFF) belongs to UART and must reach it, not this guard. This is the test that proves a stray write cannot alias into the guard.</t>
        </is>
      </c>
      <c r="M24" s="25" t="inlineStr">
        <is>
          <t>P1</t>
        </is>
      </c>
    </row>
    <row customHeight="1" ht="46" r="25">
      <c r="A25" s="36" t="inlineStr">
        <is>
          <t>GRD-03</t>
        </is>
      </c>
      <c r="B25" s="31" t="inlineStr">
        <is>
          <t>Guard window (between Timer and GPIO)</t>
        </is>
      </c>
      <c r="C25" s="33" t="n">
        <v>268455936</v>
      </c>
      <c r="D25" s="33" t="n">
        <v>268460031</v>
      </c>
      <c r="E25" s="33" t="n">
        <v>268455936</v>
      </c>
      <c r="F25" s="33" t="n">
        <v>268455996</v>
      </c>
      <c r="G25" s="33" t="n">
        <v>268460031</v>
      </c>
      <c r="H25" s="33" t="n">
        <v>268455935</v>
      </c>
      <c r="I25" s="33" t="n">
        <v>268460032</v>
      </c>
      <c r="J25" s="33" t="n">
        <v>268464128</v>
      </c>
      <c r="K25" s="32" t="inlineStr">
        <is>
          <t>default ERROR slave (by design)</t>
        </is>
      </c>
      <c r="L25" s="32" t="inlineStr">
        <is>
          <t>PURE NEGATIVE TARGET. First word 0x10005000, last word 0x10005FFF and the byte after 0x10006000 must ALL return ERROR. Base-1 (0x10004FFF) belongs to Timer and must reach it, not this guard. This is the test that proves a stray write cannot alias into the guard.</t>
        </is>
      </c>
      <c r="M25" s="36" t="inlineStr">
        <is>
          <t>P1</t>
        </is>
      </c>
    </row>
    <row customHeight="1" ht="46" r="26">
      <c r="A26" s="25" t="inlineStr">
        <is>
          <t>GRD-04</t>
        </is>
      </c>
      <c r="B26" s="21" t="inlineStr">
        <is>
          <t>Guard window (between GPIO and Network Telemetry Engine (NTE))</t>
        </is>
      </c>
      <c r="C26" s="22" t="n">
        <v>268464128</v>
      </c>
      <c r="D26" s="22" t="n">
        <v>268468223</v>
      </c>
      <c r="E26" s="22" t="n">
        <v>268464128</v>
      </c>
      <c r="F26" s="22" t="n">
        <v>268464188</v>
      </c>
      <c r="G26" s="22" t="n">
        <v>268468223</v>
      </c>
      <c r="H26" s="22" t="n">
        <v>268464127</v>
      </c>
      <c r="I26" s="22" t="n">
        <v>268468224</v>
      </c>
      <c r="J26" s="22" t="n">
        <v>268472320</v>
      </c>
      <c r="K26" s="4" t="inlineStr">
        <is>
          <t>default ERROR slave (by design)</t>
        </is>
      </c>
      <c r="L26" s="4" t="inlineStr">
        <is>
          <t>PURE NEGATIVE TARGET. First word 0x10007000, last word 0x10007FFF and the byte after 0x10008000 must ALL return ERROR. Base-1 (0x10006FFF) belongs to GPIO and must reach it, not this guard. This is the test that proves a stray write cannot alias into the guard.</t>
        </is>
      </c>
      <c r="M26" s="25" t="inlineStr">
        <is>
          <t>P1</t>
        </is>
      </c>
    </row>
    <row customHeight="1" ht="46" r="27">
      <c r="A27" s="36" t="inlineStr">
        <is>
          <t>GRD-05</t>
        </is>
      </c>
      <c r="B27" s="31" t="inlineStr">
        <is>
          <t>Guard window (between Network Telemetry Engine (NTE) and AES-128 Accelerator)</t>
        </is>
      </c>
      <c r="C27" s="33" t="n">
        <v>268472320</v>
      </c>
      <c r="D27" s="33" t="n">
        <v>268476415</v>
      </c>
      <c r="E27" s="33" t="n">
        <v>268472320</v>
      </c>
      <c r="F27" s="33" t="n">
        <v>268472380</v>
      </c>
      <c r="G27" s="33" t="n">
        <v>268476415</v>
      </c>
      <c r="H27" s="33" t="n">
        <v>268472319</v>
      </c>
      <c r="I27" s="33" t="n">
        <v>268476416</v>
      </c>
      <c r="J27" s="33" t="n">
        <v>268480512</v>
      </c>
      <c r="K27" s="32" t="inlineStr">
        <is>
          <t>default ERROR slave (by design)</t>
        </is>
      </c>
      <c r="L27" s="32" t="inlineStr">
        <is>
          <t>PURE NEGATIVE TARGET. First word 0x10009000, last word 0x10009FFF and the byte after 0x1000A000 must ALL return ERROR. Base-1 (0x10008FFF) belongs to Network Telemetry Engine (NTE) and must reach it, not this guard. This is the test that proves a stray write cannot alias into the guard.</t>
        </is>
      </c>
      <c r="M27" s="36" t="inlineStr">
        <is>
          <t>P1</t>
        </is>
      </c>
    </row>
    <row customHeight="1" ht="46" r="28">
      <c r="A28" s="25" t="inlineStr">
        <is>
          <t>GRD-06</t>
        </is>
      </c>
      <c r="B28" s="21" t="inlineStr">
        <is>
          <t>Guard window (between AES-128 Accelerator and CRC-32 / FCS Checker)</t>
        </is>
      </c>
      <c r="C28" s="22" t="n">
        <v>268480512</v>
      </c>
      <c r="D28" s="22" t="n">
        <v>268484607</v>
      </c>
      <c r="E28" s="22" t="n">
        <v>268480512</v>
      </c>
      <c r="F28" s="22" t="n">
        <v>268480572</v>
      </c>
      <c r="G28" s="22" t="n">
        <v>268484607</v>
      </c>
      <c r="H28" s="22" t="n">
        <v>268480511</v>
      </c>
      <c r="I28" s="22" t="n">
        <v>268484608</v>
      </c>
      <c r="J28" s="22" t="n">
        <v>268488704</v>
      </c>
      <c r="K28" s="4" t="inlineStr">
        <is>
          <t>default ERROR slave (by design)</t>
        </is>
      </c>
      <c r="L28" s="4" t="inlineStr">
        <is>
          <t>PURE NEGATIVE TARGET. First word 0x1000B000, last word 0x1000BFFF and the byte after 0x1000C000 must ALL return ERROR. Base-1 (0x1000AFFF) belongs to AES-128 Accelerator and must reach it, not this guard. This is the test that proves a stray write cannot alias into the guard.</t>
        </is>
      </c>
      <c r="M28" s="25" t="inlineStr">
        <is>
          <t>P1</t>
        </is>
      </c>
    </row>
    <row customHeight="1" ht="46" r="29">
      <c r="A29" s="36" t="inlineStr">
        <is>
          <t>GRD-07</t>
        </is>
      </c>
      <c r="B29" s="31" t="inlineStr">
        <is>
          <t>Guard window (between CRC-32 / FCS Checker and Ethernet MAC)</t>
        </is>
      </c>
      <c r="C29" s="33" t="n">
        <v>268488704</v>
      </c>
      <c r="D29" s="33" t="n">
        <v>268492799</v>
      </c>
      <c r="E29" s="33" t="n">
        <v>268488704</v>
      </c>
      <c r="F29" s="33" t="n">
        <v>268488764</v>
      </c>
      <c r="G29" s="33" t="n">
        <v>268492799</v>
      </c>
      <c r="H29" s="33" t="n">
        <v>268488703</v>
      </c>
      <c r="I29" s="33" t="n">
        <v>268492800</v>
      </c>
      <c r="J29" s="33" t="n">
        <v>268496896</v>
      </c>
      <c r="K29" s="32" t="inlineStr">
        <is>
          <t>default ERROR slave (by design)</t>
        </is>
      </c>
      <c r="L29" s="32" t="inlineStr">
        <is>
          <t>PURE NEGATIVE TARGET. First word 0x1000D000, last word 0x1000DFFF and the byte after 0x1000E000 must ALL return ERROR. Base-1 (0x1000CFFF) belongs to CRC-32 / FCS Checker and must reach it, not this guard. This is the test that proves a stray write cannot alias into the guard.</t>
        </is>
      </c>
      <c r="M29" s="36" t="inlineStr">
        <is>
          <t>P3</t>
        </is>
      </c>
    </row>
    <row customHeight="1" ht="46" r="30">
      <c r="A30" s="25" t="inlineStr">
        <is>
          <t>GRD-08</t>
        </is>
      </c>
      <c r="B30" s="21" t="inlineStr">
        <is>
          <t>Guard window (between Ethernet MAC and Hardware Timestamp Unit)</t>
        </is>
      </c>
      <c r="C30" s="22" t="n">
        <v>268496896</v>
      </c>
      <c r="D30" s="22" t="n">
        <v>268500991</v>
      </c>
      <c r="E30" s="22" t="n">
        <v>268496896</v>
      </c>
      <c r="F30" s="22" t="n">
        <v>268496956</v>
      </c>
      <c r="G30" s="22" t="n">
        <v>268500991</v>
      </c>
      <c r="H30" s="22" t="n">
        <v>268496895</v>
      </c>
      <c r="I30" s="22" t="n">
        <v>268500992</v>
      </c>
      <c r="J30" s="22" t="n">
        <v>268505088</v>
      </c>
      <c r="K30" s="4" t="inlineStr">
        <is>
          <t>default ERROR slave (by design)</t>
        </is>
      </c>
      <c r="L30" s="4" t="inlineStr">
        <is>
          <t>PURE NEGATIVE TARGET. First word 0x1000F000, last word 0x1000FFFF and the byte after 0x10010000 must ALL return ERROR. Base-1 (0x1000EFFF) belongs to Ethernet MAC and must reach it, not this guard. This is the test that proves a stray write cannot alias into the guard.</t>
        </is>
      </c>
      <c r="M30" s="25" t="inlineStr">
        <is>
          <t>P3</t>
        </is>
      </c>
    </row>
    <row customHeight="1" ht="46" r="31">
      <c r="A31" s="36" t="inlineStr">
        <is>
          <t>GRD-09</t>
        </is>
      </c>
      <c r="B31" s="31" t="inlineStr">
        <is>
          <t>Guard window (between Hardware Timestamp Unit and Packet / Flow Buffer)</t>
        </is>
      </c>
      <c r="C31" s="33" t="n">
        <v>268505088</v>
      </c>
      <c r="D31" s="33" t="n">
        <v>268509183</v>
      </c>
      <c r="E31" s="33" t="n">
        <v>268505088</v>
      </c>
      <c r="F31" s="33" t="n">
        <v>268505148</v>
      </c>
      <c r="G31" s="33" t="n">
        <v>268509183</v>
      </c>
      <c r="H31" s="33" t="n">
        <v>268505087</v>
      </c>
      <c r="I31" s="33" t="n">
        <v>268509184</v>
      </c>
      <c r="J31" s="33" t="n">
        <v>268513280</v>
      </c>
      <c r="K31" s="32" t="inlineStr">
        <is>
          <t>default ERROR slave (by design)</t>
        </is>
      </c>
      <c r="L31" s="32" t="inlineStr">
        <is>
          <t>PURE NEGATIVE TARGET. First word 0x10011000, last word 0x10011FFF and the byte after 0x10012000 must ALL return ERROR. Base-1 (0x10010FFF) belongs to Hardware Timestamp Unit and must reach it, not this guard. This is the test that proves a stray write cannot alias into the guard.</t>
        </is>
      </c>
      <c r="M31" s="36" t="inlineStr">
        <is>
          <t>P3</t>
        </is>
      </c>
    </row>
    <row customHeight="1" ht="46" r="32">
      <c r="A32" s="25" t="inlineStr">
        <is>
          <t>GRD-10</t>
        </is>
      </c>
      <c r="B32" s="21" t="inlineStr">
        <is>
          <t>Guard window (between Packet / Flow Buffer and DMA Controller)</t>
        </is>
      </c>
      <c r="C32" s="22" t="n">
        <v>268513280</v>
      </c>
      <c r="D32" s="22" t="n">
        <v>268517375</v>
      </c>
      <c r="E32" s="22" t="n">
        <v>268513280</v>
      </c>
      <c r="F32" s="22" t="n">
        <v>268513340</v>
      </c>
      <c r="G32" s="22" t="n">
        <v>268517375</v>
      </c>
      <c r="H32" s="22" t="n">
        <v>268513279</v>
      </c>
      <c r="I32" s="22" t="n">
        <v>268517376</v>
      </c>
      <c r="J32" s="22" t="n">
        <v>268521472</v>
      </c>
      <c r="K32" s="4" t="inlineStr">
        <is>
          <t>default ERROR slave (by design)</t>
        </is>
      </c>
      <c r="L32" s="4" t="inlineStr">
        <is>
          <t>PURE NEGATIVE TARGET. First word 0x10013000, last word 0x10013FFF and the byte after 0x10014000 must ALL return ERROR. Base-1 (0x10012FFF) belongs to Packet / Flow Buffer and must reach it, not this guard. This is the test that proves a stray write cannot alias into the guard.</t>
        </is>
      </c>
      <c r="M32" s="25" t="inlineStr">
        <is>
          <t>P3</t>
        </is>
      </c>
    </row>
    <row customHeight="1" ht="46" r="33">
      <c r="A33" s="36" t="inlineStr">
        <is>
          <t>GRD-11</t>
        </is>
      </c>
      <c r="B33" s="31" t="inlineStr">
        <is>
          <t>Guard window (between DMA Controller and SHA-256 Accelerator)</t>
        </is>
      </c>
      <c r="C33" s="33" t="n">
        <v>268521472</v>
      </c>
      <c r="D33" s="33" t="n">
        <v>268525567</v>
      </c>
      <c r="E33" s="33" t="n">
        <v>268521472</v>
      </c>
      <c r="F33" s="33" t="n">
        <v>268521532</v>
      </c>
      <c r="G33" s="33" t="n">
        <v>268525567</v>
      </c>
      <c r="H33" s="33" t="n">
        <v>268521471</v>
      </c>
      <c r="I33" s="33" t="n">
        <v>268525568</v>
      </c>
      <c r="J33" s="33" t="n">
        <v>268529664</v>
      </c>
      <c r="K33" s="32" t="inlineStr">
        <is>
          <t>default ERROR slave (by design)</t>
        </is>
      </c>
      <c r="L33" s="32" t="inlineStr">
        <is>
          <t>PURE NEGATIVE TARGET. First word 0x10015000, last word 0x10015FFF and the byte after 0x10016000 must ALL return ERROR. Base-1 (0x10014FFF) belongs to DMA Controller and must reach it, not this guard. This is the test that proves a stray write cannot alias into the guard.</t>
        </is>
      </c>
      <c r="M33" s="36" t="inlineStr">
        <is>
          <t>P3</t>
        </is>
      </c>
    </row>
    <row customHeight="1" ht="46" r="34">
      <c r="A34" s="25" t="inlineStr">
        <is>
          <t>GRD-12</t>
        </is>
      </c>
      <c r="B34" s="21" t="inlineStr">
        <is>
          <t>Guard window (between SHA-256 Accelerator and Packet Parser / Classifier)</t>
        </is>
      </c>
      <c r="C34" s="22" t="n">
        <v>268529664</v>
      </c>
      <c r="D34" s="22" t="n">
        <v>268533759</v>
      </c>
      <c r="E34" s="22" t="n">
        <v>268529664</v>
      </c>
      <c r="F34" s="22" t="n">
        <v>268529724</v>
      </c>
      <c r="G34" s="22" t="n">
        <v>268533759</v>
      </c>
      <c r="H34" s="22" t="n">
        <v>268529663</v>
      </c>
      <c r="I34" s="22" t="n">
        <v>268533760</v>
      </c>
      <c r="J34" s="22" t="n">
        <v>268537856</v>
      </c>
      <c r="K34" s="4" t="inlineStr">
        <is>
          <t>default ERROR slave (by design)</t>
        </is>
      </c>
      <c r="L34" s="4" t="inlineStr">
        <is>
          <t>PURE NEGATIVE TARGET. First word 0x10017000, last word 0x10017FFF and the byte after 0x10018000 must ALL return ERROR. Base-1 (0x10016FFF) belongs to SHA-256 Accelerator and must reach it, not this guard. This is the test that proves a stray write cannot alias into the guard.</t>
        </is>
      </c>
      <c r="M34" s="25" t="inlineStr">
        <is>
          <t>P3</t>
        </is>
      </c>
    </row>
    <row customHeight="1" ht="46" r="35">
      <c r="A35" s="36" t="inlineStr">
        <is>
          <t>GRD-13</t>
        </is>
      </c>
      <c r="B35" s="31" t="inlineStr">
        <is>
          <t>Guard window (between Packet Parser / Classifier and Watchdog Timer)</t>
        </is>
      </c>
      <c r="C35" s="33" t="n">
        <v>268537856</v>
      </c>
      <c r="D35" s="33" t="n">
        <v>268541951</v>
      </c>
      <c r="E35" s="33" t="n">
        <v>268537856</v>
      </c>
      <c r="F35" s="33" t="n">
        <v>268537916</v>
      </c>
      <c r="G35" s="33" t="n">
        <v>268541951</v>
      </c>
      <c r="H35" s="33" t="n">
        <v>268537855</v>
      </c>
      <c r="I35" s="33" t="n">
        <v>268541952</v>
      </c>
      <c r="J35" s="33" t="n">
        <v>268546048</v>
      </c>
      <c r="K35" s="32" t="inlineStr">
        <is>
          <t>default ERROR slave (by design)</t>
        </is>
      </c>
      <c r="L35" s="32" t="inlineStr">
        <is>
          <t>PURE NEGATIVE TARGET. First word 0x10019000, last word 0x10019FFF and the byte after 0x1001A000 must ALL return ERROR. Base-1 (0x10018FFF) belongs to Packet Parser / Classifier and must reach it, not this guard. This is the test that proves a stray write cannot alias into the guard.</t>
        </is>
      </c>
      <c r="M35" s="36" t="inlineStr">
        <is>
          <t>P3</t>
        </is>
      </c>
    </row>
    <row customHeight="1" ht="46" r="36">
      <c r="A36" s="25" t="inlineStr">
        <is>
          <t>GRD-14</t>
        </is>
      </c>
      <c r="B36" s="21" t="inlineStr">
        <is>
          <t>Guard window (between Watchdog Timer and PRNG)</t>
        </is>
      </c>
      <c r="C36" s="22" t="n">
        <v>268546048</v>
      </c>
      <c r="D36" s="22" t="n">
        <v>268550143</v>
      </c>
      <c r="E36" s="22" t="n">
        <v>268546048</v>
      </c>
      <c r="F36" s="22" t="n">
        <v>268546108</v>
      </c>
      <c r="G36" s="22" t="n">
        <v>268550143</v>
      </c>
      <c r="H36" s="22" t="n">
        <v>268546047</v>
      </c>
      <c r="I36" s="22" t="n">
        <v>268550144</v>
      </c>
      <c r="J36" s="22" t="n">
        <v>268554240</v>
      </c>
      <c r="K36" s="4" t="inlineStr">
        <is>
          <t>default ERROR slave (by design)</t>
        </is>
      </c>
      <c r="L36" s="4" t="inlineStr">
        <is>
          <t>PURE NEGATIVE TARGET. First word 0x1001B000, last word 0x1001BFFF and the byte after 0x1001C000 must ALL return ERROR. Base-1 (0x1001AFFF) belongs to Watchdog Timer and must reach it, not this guard. This is the test that proves a stray write cannot alias into the guard.</t>
        </is>
      </c>
      <c r="M36" s="25" t="inlineStr">
        <is>
          <t>P3</t>
        </is>
      </c>
    </row>
    <row customHeight="1" ht="46" r="37">
      <c r="A37" s="36" t="inlineStr">
        <is>
          <t>GRD-15</t>
        </is>
      </c>
      <c r="B37" s="31" t="inlineStr">
        <is>
          <t>Guard window (between PRNG and SPI Master)</t>
        </is>
      </c>
      <c r="C37" s="33" t="n">
        <v>268554240</v>
      </c>
      <c r="D37" s="33" t="n">
        <v>268558335</v>
      </c>
      <c r="E37" s="33" t="n">
        <v>268554240</v>
      </c>
      <c r="F37" s="33" t="n">
        <v>268554300</v>
      </c>
      <c r="G37" s="33" t="n">
        <v>268558335</v>
      </c>
      <c r="H37" s="33" t="n">
        <v>268554239</v>
      </c>
      <c r="I37" s="33" t="n">
        <v>268558336</v>
      </c>
      <c r="J37" s="33" t="n">
        <v>268562432</v>
      </c>
      <c r="K37" s="32" t="inlineStr">
        <is>
          <t>default ERROR slave (by design)</t>
        </is>
      </c>
      <c r="L37" s="32" t="inlineStr">
        <is>
          <t>PURE NEGATIVE TARGET. First word 0x1001D000, last word 0x1001DFFF and the byte after 0x1001E000 must ALL return ERROR. Base-1 (0x1001CFFF) belongs to PRNG and must reach it, not this guard. This is the test that proves a stray write cannot alias into the guard.</t>
        </is>
      </c>
      <c r="M37" s="36" t="inlineStr">
        <is>
          <t>P3</t>
        </is>
      </c>
    </row>
    <row customHeight="1" ht="46" r="38">
      <c r="A38" s="25" t="inlineStr">
        <is>
          <t>GRD-16</t>
        </is>
      </c>
      <c r="B38" s="21" t="inlineStr">
        <is>
          <t>Guard window (between SPI Master and Reserved for expansion)</t>
        </is>
      </c>
      <c r="C38" s="22" t="n">
        <v>268562432</v>
      </c>
      <c r="D38" s="22" t="n">
        <v>268566527</v>
      </c>
      <c r="E38" s="22" t="n">
        <v>268562432</v>
      </c>
      <c r="F38" s="22" t="n">
        <v>268562492</v>
      </c>
      <c r="G38" s="22" t="n">
        <v>268566527</v>
      </c>
      <c r="H38" s="22" t="n">
        <v>268562431</v>
      </c>
      <c r="I38" s="22" t="n">
        <v>268566528</v>
      </c>
      <c r="J38" s="22" t="n">
        <v>268570624</v>
      </c>
      <c r="K38" s="4" t="inlineStr">
        <is>
          <t>default ERROR slave (by design)</t>
        </is>
      </c>
      <c r="L38" s="4" t="inlineStr">
        <is>
          <t>PURE NEGATIVE TARGET. First word 0x1001F000, last word 0x1001FFFF and the byte after 0x10020000 must ALL return ERROR. Base-1 (0x1001EFFF) belongs to SPI Master and must reach it, not this guard. This is the test that proves a stray write cannot alias into the guard.</t>
        </is>
      </c>
      <c r="M38" s="25" t="inlineStr">
        <is>
          <t>P3</t>
        </is>
      </c>
    </row>
    <row customHeight="1" ht="54" r="40">
      <c r="A40" s="14" t="inlineStr">
        <is>
          <t>ALIASING NOTE.  Within one window only offset bits [11:0] are decoded, so 0x10008000 and 0x10008004 must reach the same peripheral with different register offsets, while 0x10008008 - which is INSIDE the AES window - must also reach AES, and 0x10009000 - the guard - must not. Rev B makes that distinction easier to test: every window boundary is followed by 4 KB of guaranteed-dead space, so an off-by-one in any decoder is caught by a single write. Include one aliasing test per implemented window and one guard-isolation test per guard window in the plan.</t>
        </is>
      </c>
    </row>
  </sheetData>
  <autoFilter ref="A4:M38"/>
  <mergeCells count="3">
    <mergeCell ref="A1:M1"/>
    <mergeCell ref="A40:M40"/>
    <mergeCell ref="A2:M2"/>
  </mergeCells>
  <printOptions horizontalCentered="1"/>
  <pageMargins bottom="0.4" footer="0.5" header="0.5" left="0.3" right="0.3" top="0.4"/>
  <pageSetup fitToHeight="0" fitToWidth="1" orientation="landscape"/>
  <headerFooter>
    <oddHeader/>
    <oddFooter>&amp;C&amp;8 &amp;A  |  Rev B (Re-pitched MMIO aperture, draft for Architecture Freeze)  |  Page &amp;P of &amp;N</oddFooter>
    <evenHeader/>
    <evenFooter/>
    <firstHeader/>
    <firstFooter/>
  </headerFooter>
</worksheet>
</file>

<file path=xl/worksheets/sheet8.xml><?xml version="1.0" encoding="utf-8"?>
<worksheet xmlns="http://schemas.openxmlformats.org/spreadsheetml/2006/main">
  <sheetPr>
    <tabColor rgb="00808080"/>
    <outlinePr summaryBelow="1" summaryRight="1"/>
    <pageSetUpPr fitToPage="1"/>
  </sheetPr>
  <dimension ref="A1:J35"/>
  <sheetViews>
    <sheetView showGridLines="0" workbookViewId="0">
      <pane activePane="bottomRight" state="frozen" topLeftCell="B5" xSplit="1" ySplit="4"/>
      <selection pane="topRight"/>
      <selection pane="bottomLeft"/>
      <selection activeCell="A1" pane="bottomRight" sqref="A1"/>
    </sheetView>
  </sheetViews>
  <sheetFormatPr baseColWidth="8" defaultRowHeight="15"/>
  <cols>
    <col customWidth="1" max="1" min="1" width="10"/>
    <col customWidth="1" max="2" min="2" width="16"/>
    <col customWidth="1" max="3" min="3" width="16"/>
    <col customWidth="1" max="4" min="4" width="13"/>
    <col customWidth="1" max="5" min="5" width="12"/>
    <col customWidth="1" max="6" min="6" width="30"/>
    <col customWidth="1" max="7" min="7" width="26"/>
    <col customWidth="1" max="8" min="8" width="46"/>
    <col customWidth="1" max="9" min="9" width="13"/>
    <col customWidth="1" max="10" min="10" width="48"/>
  </cols>
  <sheetData>
    <row customHeight="1" ht="22" r="1">
      <c r="A1" s="15" t="inlineStr">
        <is>
          <t>7. Unmapped, Guard and Reserved Ranges</t>
        </is>
      </c>
    </row>
    <row customHeight="1" ht="40" r="2">
      <c r="A2" s="16" t="inlineStr">
        <is>
          <t>The negative half of the Rev B map, in three categories: (A) true unmapped holes with no planned owner, (B) the 16 guard windows that isolate the peripherals, (C) proposed and reserved windows. Together with the eight assigned windows on sheet 1 these account for exactly 2^32 bytes - the TOTAL row proves it.</t>
        </is>
      </c>
      <c r="B2" s="17" t="n"/>
      <c r="C2" s="17" t="n"/>
      <c r="D2" s="17" t="n"/>
      <c r="E2" s="17" t="n"/>
      <c r="F2" s="17" t="n"/>
      <c r="G2" s="17" t="n"/>
      <c r="H2" s="17" t="n"/>
      <c r="I2" s="17" t="n"/>
      <c r="J2" s="17" t="n"/>
    </row>
    <row customHeight="1" ht="34" r="4">
      <c r="A4" s="18" t="inlineStr">
        <is>
          <t>Range ID</t>
        </is>
      </c>
      <c r="B4" s="18" t="inlineStr">
        <is>
          <t>Start Address</t>
        </is>
      </c>
      <c r="C4" s="18" t="inlineStr">
        <is>
          <t>End Address</t>
        </is>
      </c>
      <c r="D4" s="18" t="inlineStr">
        <is>
          <t>Size (Bytes)</t>
        </is>
      </c>
      <c r="E4" s="18" t="inlineStr">
        <is>
          <t>Size (Human)</t>
        </is>
      </c>
      <c r="F4" s="18" t="inlineStr">
        <is>
          <t>Category</t>
        </is>
      </c>
      <c r="G4" s="18" t="inlineStr">
        <is>
          <t>Owner</t>
        </is>
      </c>
      <c r="H4" s="18" t="inlineStr">
        <is>
          <t>Expected Access Behaviour</t>
        </is>
      </c>
      <c r="I4" s="18" t="inlineStr">
        <is>
          <t>Freeze Status</t>
        </is>
      </c>
      <c r="J4" s="18" t="inlineStr">
        <is>
          <t>Notes</t>
        </is>
      </c>
    </row>
    <row customHeight="1" ht="40" r="5">
      <c r="A5" s="25" t="inlineStr">
        <is>
          <t>HOLE-01</t>
        </is>
      </c>
      <c r="B5" s="22" t="n">
        <v>32768</v>
      </c>
      <c r="C5" s="22" t="n">
        <v>65535</v>
      </c>
      <c r="D5" s="23" t="n">
        <v>32768</v>
      </c>
      <c r="E5" s="24" t="inlineStr">
        <is>
          <t>32 KB</t>
        </is>
      </c>
      <c r="F5" s="4" t="inlineStr">
        <is>
          <t>A. True unmapped hole</t>
        </is>
      </c>
      <c r="G5" s="4" t="inlineStr">
        <is>
          <t>none - no slave</t>
        </is>
      </c>
      <c r="H5" s="4" t="inlineStr">
        <is>
          <t>AHB ERROR response from the default slave. Inside the 64 KB IMEM aperture but beyond the 32 KB SRAM.</t>
        </is>
      </c>
      <c r="I5" s="62" t="inlineStr">
        <is>
          <t>HOLE</t>
        </is>
      </c>
      <c r="J5" s="4" t="inlineStr">
        <is>
          <t>Negative-test target. Proves the IMEM match is a size-15 decode, not a bare base compare. Probe 0x00008000 and 0x0000FFFF.</t>
        </is>
      </c>
    </row>
    <row customHeight="1" ht="40" r="6">
      <c r="A6" s="36" t="inlineStr">
        <is>
          <t>HOLE-02</t>
        </is>
      </c>
      <c r="B6" s="33" t="n">
        <v>98304</v>
      </c>
      <c r="C6" s="33" t="n">
        <v>268435455</v>
      </c>
      <c r="D6" s="34" t="n">
        <v>268337152</v>
      </c>
      <c r="E6" s="35" t="inlineStr">
        <is>
          <t>255.91 MB</t>
        </is>
      </c>
      <c r="F6" s="32" t="inlineStr">
        <is>
          <t>A. True unmapped hole</t>
        </is>
      </c>
      <c r="G6" s="32" t="inlineStr">
        <is>
          <t>none - no slave</t>
        </is>
      </c>
      <c r="H6" s="32" t="inlineStr">
        <is>
          <t>AHB ERROR response from the default slave.</t>
        </is>
      </c>
      <c r="I6" s="62" t="inlineStr">
        <is>
          <t>HOLE</t>
        </is>
      </c>
      <c r="J6" s="32" t="inlineStr">
        <is>
          <t>Very large. Two probes suffice: 0x00018000 (just above DMEM) and 0x0FFFFFFF (just below the peripheral aperture).</t>
        </is>
      </c>
    </row>
    <row customHeight="1" ht="40" r="7">
      <c r="A7" s="25" t="inlineStr">
        <is>
          <t>HOLE-03</t>
        </is>
      </c>
      <c r="B7" s="22" t="n">
        <v>268566528</v>
      </c>
      <c r="C7" s="22" t="n">
        <v>4294967295</v>
      </c>
      <c r="D7" s="23" t="n">
        <v>4026400768</v>
      </c>
      <c r="E7" s="24" t="inlineStr">
        <is>
          <t>3.75 GB</t>
        </is>
      </c>
      <c r="F7" s="4" t="inlineStr">
        <is>
          <t>A. True unmapped hole</t>
        </is>
      </c>
      <c r="G7" s="4" t="inlineStr">
        <is>
          <t>none - no slave</t>
        </is>
      </c>
      <c r="H7" s="4" t="inlineStr">
        <is>
          <t>AHB ERROR response from the default slave.</t>
        </is>
      </c>
      <c r="I7" s="62" t="inlineStr">
        <is>
          <t>HOLE</t>
        </is>
      </c>
      <c r="J7" s="4" t="inlineStr">
        <is>
          <t>Top of the address space, starts at 0x10020000 in Rev B. Always probe 0xFFFFFFFF - the classic off-by-one in a decoder.</t>
        </is>
      </c>
    </row>
    <row customHeight="1" ht="40" r="8">
      <c r="A8" s="36" t="inlineStr">
        <is>
          <t>MMIO-07</t>
        </is>
      </c>
      <c r="B8" s="33" t="n">
        <v>268484608</v>
      </c>
      <c r="C8" s="33" t="n">
        <v>268488703</v>
      </c>
      <c r="D8" s="34" t="n">
        <v>4096</v>
      </c>
      <c r="E8" s="35" t="inlineStr">
        <is>
          <t>4 KB</t>
        </is>
      </c>
      <c r="F8" s="32" t="inlineStr">
        <is>
          <t>C. Proposed window</t>
        </is>
      </c>
      <c r="G8" s="32" t="inlineStr">
        <is>
          <t>Ethernet MAC</t>
        </is>
      </c>
      <c r="H8" s="32" t="inlineStr">
        <is>
          <t>AHB ERROR today. Changes owner as the corresponding RTL lands. Rev B moved this from 0x10007000.</t>
        </is>
      </c>
      <c r="I8" s="42" t="inlineStr">
        <is>
          <t>PROPOSED</t>
        </is>
      </c>
      <c r="J8" s="32" t="inlineStr">
        <is>
          <t>Window base is 0x1000C000. Isolated from Hardware Timestamp Unit by GRD-07.</t>
        </is>
      </c>
    </row>
    <row customHeight="1" ht="40" r="9">
      <c r="A9" s="25" t="inlineStr">
        <is>
          <t>MMIO-08</t>
        </is>
      </c>
      <c r="B9" s="22" t="n">
        <v>268492800</v>
      </c>
      <c r="C9" s="22" t="n">
        <v>268496895</v>
      </c>
      <c r="D9" s="23" t="n">
        <v>4096</v>
      </c>
      <c r="E9" s="24" t="inlineStr">
        <is>
          <t>4 KB</t>
        </is>
      </c>
      <c r="F9" s="4" t="inlineStr">
        <is>
          <t>C. Proposed window</t>
        </is>
      </c>
      <c r="G9" s="4" t="inlineStr">
        <is>
          <t>Hardware Timestamp Unit</t>
        </is>
      </c>
      <c r="H9" s="4" t="inlineStr">
        <is>
          <t>AHB ERROR today. Changes owner as the corresponding RTL lands. Rev B moved this from 0x10008000.</t>
        </is>
      </c>
      <c r="I9" s="42" t="inlineStr">
        <is>
          <t>PROPOSED</t>
        </is>
      </c>
      <c r="J9" s="4" t="inlineStr">
        <is>
          <t>Window base is 0x1000E000. Isolated from Packet / Flow Buffer by GRD-08.</t>
        </is>
      </c>
    </row>
    <row customHeight="1" ht="40" r="10">
      <c r="A10" s="36" t="inlineStr">
        <is>
          <t>MMIO-09</t>
        </is>
      </c>
      <c r="B10" s="33" t="n">
        <v>268500992</v>
      </c>
      <c r="C10" s="33" t="n">
        <v>268505087</v>
      </c>
      <c r="D10" s="34" t="n">
        <v>4096</v>
      </c>
      <c r="E10" s="35" t="inlineStr">
        <is>
          <t>4 KB</t>
        </is>
      </c>
      <c r="F10" s="32" t="inlineStr">
        <is>
          <t>C. Proposed window</t>
        </is>
      </c>
      <c r="G10" s="32" t="inlineStr">
        <is>
          <t>Packet / Flow Buffer</t>
        </is>
      </c>
      <c r="H10" s="32" t="inlineStr">
        <is>
          <t>AHB ERROR today. Changes owner as the corresponding RTL lands. Rev B moved this from 0x10009000.</t>
        </is>
      </c>
      <c r="I10" s="42" t="inlineStr">
        <is>
          <t>PROPOSED</t>
        </is>
      </c>
      <c r="J10" s="32" t="inlineStr">
        <is>
          <t>Window base is 0x10010000. Isolated from DMA Controller by GRD-09.</t>
        </is>
      </c>
    </row>
    <row customHeight="1" ht="40" r="11">
      <c r="A11" s="25" t="inlineStr">
        <is>
          <t>MMIO-10</t>
        </is>
      </c>
      <c r="B11" s="22" t="n">
        <v>268509184</v>
      </c>
      <c r="C11" s="22" t="n">
        <v>268513279</v>
      </c>
      <c r="D11" s="23" t="n">
        <v>4096</v>
      </c>
      <c r="E11" s="24" t="inlineStr">
        <is>
          <t>4 KB</t>
        </is>
      </c>
      <c r="F11" s="4" t="inlineStr">
        <is>
          <t>C. Proposed window</t>
        </is>
      </c>
      <c r="G11" s="4" t="inlineStr">
        <is>
          <t>DMA Controller</t>
        </is>
      </c>
      <c r="H11" s="4" t="inlineStr">
        <is>
          <t>AHB ERROR today. Changes owner as the corresponding RTL lands. Rev B moved this from 0x1000A000.</t>
        </is>
      </c>
      <c r="I11" s="42" t="inlineStr">
        <is>
          <t>PROPOSED</t>
        </is>
      </c>
      <c r="J11" s="4" t="inlineStr">
        <is>
          <t>Window base is 0x10012000. Isolated from SHA-256 Accelerator by GRD-10.</t>
        </is>
      </c>
    </row>
    <row customHeight="1" ht="40" r="12">
      <c r="A12" s="36" t="inlineStr">
        <is>
          <t>MMIO-11</t>
        </is>
      </c>
      <c r="B12" s="33" t="n">
        <v>268517376</v>
      </c>
      <c r="C12" s="33" t="n">
        <v>268521471</v>
      </c>
      <c r="D12" s="34" t="n">
        <v>4096</v>
      </c>
      <c r="E12" s="35" t="inlineStr">
        <is>
          <t>4 KB</t>
        </is>
      </c>
      <c r="F12" s="32" t="inlineStr">
        <is>
          <t>C. Proposed window</t>
        </is>
      </c>
      <c r="G12" s="32" t="inlineStr">
        <is>
          <t>SHA-256 Accelerator</t>
        </is>
      </c>
      <c r="H12" s="32" t="inlineStr">
        <is>
          <t>AHB ERROR today. Changes owner as the corresponding RTL lands. Rev B moved this from 0x1000B000.</t>
        </is>
      </c>
      <c r="I12" s="42" t="inlineStr">
        <is>
          <t>PROPOSED</t>
        </is>
      </c>
      <c r="J12" s="32" t="inlineStr">
        <is>
          <t>Window base is 0x10014000. Isolated from Packet Parser / Classifier by GRD-11.</t>
        </is>
      </c>
    </row>
    <row customHeight="1" ht="40" r="13">
      <c r="A13" s="25" t="inlineStr">
        <is>
          <t>MMIO-12</t>
        </is>
      </c>
      <c r="B13" s="22" t="n">
        <v>268525568</v>
      </c>
      <c r="C13" s="22" t="n">
        <v>268529663</v>
      </c>
      <c r="D13" s="23" t="n">
        <v>4096</v>
      </c>
      <c r="E13" s="24" t="inlineStr">
        <is>
          <t>4 KB</t>
        </is>
      </c>
      <c r="F13" s="4" t="inlineStr">
        <is>
          <t>C. Proposed window</t>
        </is>
      </c>
      <c r="G13" s="4" t="inlineStr">
        <is>
          <t>Packet Parser / Classifier</t>
        </is>
      </c>
      <c r="H13" s="4" t="inlineStr">
        <is>
          <t>AHB ERROR today. Changes owner as the corresponding RTL lands. Rev B moved this from 0x1000C000.</t>
        </is>
      </c>
      <c r="I13" s="42" t="inlineStr">
        <is>
          <t>PROPOSED</t>
        </is>
      </c>
      <c r="J13" s="4" t="inlineStr">
        <is>
          <t>Window base is 0x10016000. Isolated from Watchdog Timer by GRD-12.</t>
        </is>
      </c>
    </row>
    <row customHeight="1" ht="40" r="14">
      <c r="A14" s="36" t="inlineStr">
        <is>
          <t>MMIO-13</t>
        </is>
      </c>
      <c r="B14" s="33" t="n">
        <v>268533760</v>
      </c>
      <c r="C14" s="33" t="n">
        <v>268537855</v>
      </c>
      <c r="D14" s="34" t="n">
        <v>4096</v>
      </c>
      <c r="E14" s="35" t="inlineStr">
        <is>
          <t>4 KB</t>
        </is>
      </c>
      <c r="F14" s="32" t="inlineStr">
        <is>
          <t>C. Reserved window</t>
        </is>
      </c>
      <c r="G14" s="32" t="inlineStr">
        <is>
          <t>Watchdog Timer</t>
        </is>
      </c>
      <c r="H14" s="32" t="inlineStr">
        <is>
          <t>AHB ERROR today. Changes owner as the corresponding RTL lands. Rev B moved this from 0x1000D000.</t>
        </is>
      </c>
      <c r="I14" s="39" t="inlineStr">
        <is>
          <t>RESERVED</t>
        </is>
      </c>
      <c r="J14" s="32" t="inlineStr">
        <is>
          <t>Window base is 0x10018000. Isolated from PRNG by GRD-13.</t>
        </is>
      </c>
    </row>
    <row customHeight="1" ht="40" r="15">
      <c r="A15" s="25" t="inlineStr">
        <is>
          <t>MMIO-14</t>
        </is>
      </c>
      <c r="B15" s="22" t="n">
        <v>268541952</v>
      </c>
      <c r="C15" s="22" t="n">
        <v>268546047</v>
      </c>
      <c r="D15" s="23" t="n">
        <v>4096</v>
      </c>
      <c r="E15" s="24" t="inlineStr">
        <is>
          <t>4 KB</t>
        </is>
      </c>
      <c r="F15" s="4" t="inlineStr">
        <is>
          <t>C. Reserved window</t>
        </is>
      </c>
      <c r="G15" s="4" t="inlineStr">
        <is>
          <t>PRNG</t>
        </is>
      </c>
      <c r="H15" s="4" t="inlineStr">
        <is>
          <t>AHB ERROR today. Changes owner as the corresponding RTL lands. Rev B moved this from 0x1000E000.</t>
        </is>
      </c>
      <c r="I15" s="39" t="inlineStr">
        <is>
          <t>RESERVED</t>
        </is>
      </c>
      <c r="J15" s="4" t="inlineStr">
        <is>
          <t>Window base is 0x1001A000. Isolated from SPI Master by GRD-14.</t>
        </is>
      </c>
    </row>
    <row customHeight="1" ht="40" r="16">
      <c r="A16" s="36" t="inlineStr">
        <is>
          <t>MMIO-15</t>
        </is>
      </c>
      <c r="B16" s="33" t="n">
        <v>268550144</v>
      </c>
      <c r="C16" s="33" t="n">
        <v>268554239</v>
      </c>
      <c r="D16" s="34" t="n">
        <v>4096</v>
      </c>
      <c r="E16" s="35" t="inlineStr">
        <is>
          <t>4 KB</t>
        </is>
      </c>
      <c r="F16" s="32" t="inlineStr">
        <is>
          <t>C. Reserved window</t>
        </is>
      </c>
      <c r="G16" s="32" t="inlineStr">
        <is>
          <t>SPI Master</t>
        </is>
      </c>
      <c r="H16" s="32" t="inlineStr">
        <is>
          <t>AHB ERROR today. Changes owner as the corresponding RTL lands. Rev B moved this from 0x1000F000.</t>
        </is>
      </c>
      <c r="I16" s="39" t="inlineStr">
        <is>
          <t>RESERVED</t>
        </is>
      </c>
      <c r="J16" s="32" t="inlineStr">
        <is>
          <t>Window base is 0x1001C000. Isolated from Reserved for expansion by GRD-15.</t>
        </is>
      </c>
    </row>
    <row customHeight="1" ht="40" r="17">
      <c r="A17" s="25" t="inlineStr">
        <is>
          <t>MMIO-16</t>
        </is>
      </c>
      <c r="B17" s="22" t="n">
        <v>268558336</v>
      </c>
      <c r="C17" s="22" t="n">
        <v>268562431</v>
      </c>
      <c r="D17" s="23" t="n">
        <v>4096</v>
      </c>
      <c r="E17" s="24" t="inlineStr">
        <is>
          <t>4 KB</t>
        </is>
      </c>
      <c r="F17" s="4" t="inlineStr">
        <is>
          <t>C. Reserved window</t>
        </is>
      </c>
      <c r="G17" s="4" t="inlineStr">
        <is>
          <t>Reserved for expansion</t>
        </is>
      </c>
      <c r="H17" s="4" t="inlineStr">
        <is>
          <t>AHB ERROR today. Changes owner as the corresponding RTL lands. Rev B moved this from 0x10010000.</t>
        </is>
      </c>
      <c r="I17" s="39" t="inlineStr">
        <is>
          <t>RESERVED</t>
        </is>
      </c>
      <c r="J17" s="4" t="inlineStr">
        <is>
          <t>Window base is 0x1001E000. Isolated from nothing - top of aperture by GRD-16.</t>
        </is>
      </c>
    </row>
    <row customHeight="1" ht="40" r="18">
      <c r="A18" s="36" t="inlineStr">
        <is>
          <t>GRD-01</t>
        </is>
      </c>
      <c r="B18" s="33" t="n">
        <v>268439552</v>
      </c>
      <c r="C18" s="33" t="n">
        <v>268443647</v>
      </c>
      <c r="D18" s="34" t="n">
        <v>4096</v>
      </c>
      <c r="E18" s="35" t="inlineStr">
        <is>
          <t>4 KB</t>
        </is>
      </c>
      <c r="F18" s="32" t="inlineStr">
        <is>
          <t>B. Guard window</t>
        </is>
      </c>
      <c r="G18" s="32" t="inlineStr">
        <is>
          <t>unassigned - isolates UART from Timer</t>
        </is>
      </c>
      <c r="H18" s="32" t="inlineStr">
        <is>
          <t>AHB ERROR response from the default slave, by design.</t>
        </is>
      </c>
      <c r="I18" s="41" t="inlineStr">
        <is>
          <t>GUARD</t>
        </is>
      </c>
      <c r="J18" s="32" t="inlineStr">
        <is>
          <t>NEW IN REV B. Must stay undecoded. Also gives UART 4 KB of growth room.</t>
        </is>
      </c>
    </row>
    <row customHeight="1" ht="40" r="19">
      <c r="A19" s="25" t="inlineStr">
        <is>
          <t>GRD-02</t>
        </is>
      </c>
      <c r="B19" s="22" t="n">
        <v>268447744</v>
      </c>
      <c r="C19" s="22" t="n">
        <v>268451839</v>
      </c>
      <c r="D19" s="23" t="n">
        <v>4096</v>
      </c>
      <c r="E19" s="24" t="inlineStr">
        <is>
          <t>4 KB</t>
        </is>
      </c>
      <c r="F19" s="4" t="inlineStr">
        <is>
          <t>B. Guard window</t>
        </is>
      </c>
      <c r="G19" s="4" t="inlineStr">
        <is>
          <t>unassigned - isolates Timer from GPIO</t>
        </is>
      </c>
      <c r="H19" s="4" t="inlineStr">
        <is>
          <t>AHB ERROR response from the default slave, by design.</t>
        </is>
      </c>
      <c r="I19" s="41" t="inlineStr">
        <is>
          <t>GUARD</t>
        </is>
      </c>
      <c r="J19" s="4" t="inlineStr">
        <is>
          <t>NEW IN REV B. Must stay undecoded. Also gives Timer 4 KB of growth room.</t>
        </is>
      </c>
    </row>
    <row customHeight="1" ht="40" r="20">
      <c r="A20" s="36" t="inlineStr">
        <is>
          <t>GRD-03</t>
        </is>
      </c>
      <c r="B20" s="33" t="n">
        <v>268455936</v>
      </c>
      <c r="C20" s="33" t="n">
        <v>268460031</v>
      </c>
      <c r="D20" s="34" t="n">
        <v>4096</v>
      </c>
      <c r="E20" s="35" t="inlineStr">
        <is>
          <t>4 KB</t>
        </is>
      </c>
      <c r="F20" s="32" t="inlineStr">
        <is>
          <t>B. Guard window</t>
        </is>
      </c>
      <c r="G20" s="32" t="inlineStr">
        <is>
          <t>unassigned - isolates GPIO from Network Telemetry Engine (NTE)</t>
        </is>
      </c>
      <c r="H20" s="32" t="inlineStr">
        <is>
          <t>AHB ERROR response from the default slave, by design.</t>
        </is>
      </c>
      <c r="I20" s="41" t="inlineStr">
        <is>
          <t>GUARD</t>
        </is>
      </c>
      <c r="J20" s="32" t="inlineStr">
        <is>
          <t>NEW IN REV B. Must stay undecoded. Also gives GPIO 4 KB of growth room.</t>
        </is>
      </c>
    </row>
    <row customHeight="1" ht="40" r="21">
      <c r="A21" s="25" t="inlineStr">
        <is>
          <t>GRD-04</t>
        </is>
      </c>
      <c r="B21" s="22" t="n">
        <v>268464128</v>
      </c>
      <c r="C21" s="22" t="n">
        <v>268468223</v>
      </c>
      <c r="D21" s="23" t="n">
        <v>4096</v>
      </c>
      <c r="E21" s="24" t="inlineStr">
        <is>
          <t>4 KB</t>
        </is>
      </c>
      <c r="F21" s="4" t="inlineStr">
        <is>
          <t>B. Guard window</t>
        </is>
      </c>
      <c r="G21" s="4" t="inlineStr">
        <is>
          <t>unassigned - isolates Network Telemetry Engine (NTE) from AES-128 Accelerator</t>
        </is>
      </c>
      <c r="H21" s="4" t="inlineStr">
        <is>
          <t>AHB ERROR response from the default slave, by design.</t>
        </is>
      </c>
      <c r="I21" s="41" t="inlineStr">
        <is>
          <t>GUARD</t>
        </is>
      </c>
      <c r="J21" s="4" t="inlineStr">
        <is>
          <t>NEW IN REV B. Must stay undecoded. Also gives Network Telemetry Engine (NTE) 4 KB of growth room.</t>
        </is>
      </c>
    </row>
    <row customHeight="1" ht="40" r="22">
      <c r="A22" s="36" t="inlineStr">
        <is>
          <t>GRD-05</t>
        </is>
      </c>
      <c r="B22" s="33" t="n">
        <v>268472320</v>
      </c>
      <c r="C22" s="33" t="n">
        <v>268476415</v>
      </c>
      <c r="D22" s="34" t="n">
        <v>4096</v>
      </c>
      <c r="E22" s="35" t="inlineStr">
        <is>
          <t>4 KB</t>
        </is>
      </c>
      <c r="F22" s="32" t="inlineStr">
        <is>
          <t>B. Guard window</t>
        </is>
      </c>
      <c r="G22" s="32" t="inlineStr">
        <is>
          <t>unassigned - isolates AES-128 Accelerator from CRC-32 / FCS Checker</t>
        </is>
      </c>
      <c r="H22" s="32" t="inlineStr">
        <is>
          <t>AHB ERROR response from the default slave, by design.</t>
        </is>
      </c>
      <c r="I22" s="41" t="inlineStr">
        <is>
          <t>GUARD</t>
        </is>
      </c>
      <c r="J22" s="32" t="inlineStr">
        <is>
          <t>NEW IN REV B. Must stay undecoded. Also gives AES-128 Accelerator 4 KB of growth room.</t>
        </is>
      </c>
    </row>
    <row customHeight="1" ht="40" r="23">
      <c r="A23" s="25" t="inlineStr">
        <is>
          <t>GRD-06</t>
        </is>
      </c>
      <c r="B23" s="22" t="n">
        <v>268480512</v>
      </c>
      <c r="C23" s="22" t="n">
        <v>268484607</v>
      </c>
      <c r="D23" s="23" t="n">
        <v>4096</v>
      </c>
      <c r="E23" s="24" t="inlineStr">
        <is>
          <t>4 KB</t>
        </is>
      </c>
      <c r="F23" s="4" t="inlineStr">
        <is>
          <t>B. Guard window</t>
        </is>
      </c>
      <c r="G23" s="4" t="inlineStr">
        <is>
          <t>unassigned - isolates CRC-32 / FCS Checker from Ethernet MAC</t>
        </is>
      </c>
      <c r="H23" s="4" t="inlineStr">
        <is>
          <t>AHB ERROR response from the default slave, by design.</t>
        </is>
      </c>
      <c r="I23" s="41" t="inlineStr">
        <is>
          <t>GUARD</t>
        </is>
      </c>
      <c r="J23" s="4" t="inlineStr">
        <is>
          <t>NEW IN REV B. Must stay undecoded. Also gives CRC-32 / FCS Checker 4 KB of growth room.</t>
        </is>
      </c>
    </row>
    <row customHeight="1" ht="40" r="24">
      <c r="A24" s="36" t="inlineStr">
        <is>
          <t>GRD-07</t>
        </is>
      </c>
      <c r="B24" s="33" t="n">
        <v>268488704</v>
      </c>
      <c r="C24" s="33" t="n">
        <v>268492799</v>
      </c>
      <c r="D24" s="34" t="n">
        <v>4096</v>
      </c>
      <c r="E24" s="35" t="inlineStr">
        <is>
          <t>4 KB</t>
        </is>
      </c>
      <c r="F24" s="32" t="inlineStr">
        <is>
          <t>B. Guard window</t>
        </is>
      </c>
      <c r="G24" s="32" t="inlineStr">
        <is>
          <t>unassigned - isolates Ethernet MAC from Hardware Timestamp Unit</t>
        </is>
      </c>
      <c r="H24" s="32" t="inlineStr">
        <is>
          <t>AHB ERROR response from the default slave, by design.</t>
        </is>
      </c>
      <c r="I24" s="41" t="inlineStr">
        <is>
          <t>GUARD</t>
        </is>
      </c>
      <c r="J24" s="32" t="inlineStr">
        <is>
          <t>NEW IN REV B. Must stay undecoded. Also gives Ethernet MAC 4 KB of growth room.</t>
        </is>
      </c>
    </row>
    <row customHeight="1" ht="40" r="25">
      <c r="A25" s="25" t="inlineStr">
        <is>
          <t>GRD-08</t>
        </is>
      </c>
      <c r="B25" s="22" t="n">
        <v>268496896</v>
      </c>
      <c r="C25" s="22" t="n">
        <v>268500991</v>
      </c>
      <c r="D25" s="23" t="n">
        <v>4096</v>
      </c>
      <c r="E25" s="24" t="inlineStr">
        <is>
          <t>4 KB</t>
        </is>
      </c>
      <c r="F25" s="4" t="inlineStr">
        <is>
          <t>B. Guard window</t>
        </is>
      </c>
      <c r="G25" s="4" t="inlineStr">
        <is>
          <t>unassigned - isolates Hardware Timestamp Unit from Packet / Flow Buffer</t>
        </is>
      </c>
      <c r="H25" s="4" t="inlineStr">
        <is>
          <t>AHB ERROR response from the default slave, by design.</t>
        </is>
      </c>
      <c r="I25" s="41" t="inlineStr">
        <is>
          <t>GUARD</t>
        </is>
      </c>
      <c r="J25" s="4" t="inlineStr">
        <is>
          <t>NEW IN REV B. Must stay undecoded. Also gives Hardware Timestamp Unit 4 KB of growth room.</t>
        </is>
      </c>
    </row>
    <row customHeight="1" ht="40" r="26">
      <c r="A26" s="36" t="inlineStr">
        <is>
          <t>GRD-09</t>
        </is>
      </c>
      <c r="B26" s="33" t="n">
        <v>268505088</v>
      </c>
      <c r="C26" s="33" t="n">
        <v>268509183</v>
      </c>
      <c r="D26" s="34" t="n">
        <v>4096</v>
      </c>
      <c r="E26" s="35" t="inlineStr">
        <is>
          <t>4 KB</t>
        </is>
      </c>
      <c r="F26" s="32" t="inlineStr">
        <is>
          <t>B. Guard window</t>
        </is>
      </c>
      <c r="G26" s="32" t="inlineStr">
        <is>
          <t>unassigned - isolates Packet / Flow Buffer from DMA Controller</t>
        </is>
      </c>
      <c r="H26" s="32" t="inlineStr">
        <is>
          <t>AHB ERROR response from the default slave, by design.</t>
        </is>
      </c>
      <c r="I26" s="41" t="inlineStr">
        <is>
          <t>GUARD</t>
        </is>
      </c>
      <c r="J26" s="32" t="inlineStr">
        <is>
          <t>NEW IN REV B. Must stay undecoded. Also gives Packet / Flow Buffer 4 KB of growth room.</t>
        </is>
      </c>
    </row>
    <row customHeight="1" ht="40" r="27">
      <c r="A27" s="25" t="inlineStr">
        <is>
          <t>GRD-10</t>
        </is>
      </c>
      <c r="B27" s="22" t="n">
        <v>268513280</v>
      </c>
      <c r="C27" s="22" t="n">
        <v>268517375</v>
      </c>
      <c r="D27" s="23" t="n">
        <v>4096</v>
      </c>
      <c r="E27" s="24" t="inlineStr">
        <is>
          <t>4 KB</t>
        </is>
      </c>
      <c r="F27" s="4" t="inlineStr">
        <is>
          <t>B. Guard window</t>
        </is>
      </c>
      <c r="G27" s="4" t="inlineStr">
        <is>
          <t>unassigned - isolates DMA Controller from SHA-256 Accelerator</t>
        </is>
      </c>
      <c r="H27" s="4" t="inlineStr">
        <is>
          <t>AHB ERROR response from the default slave, by design.</t>
        </is>
      </c>
      <c r="I27" s="41" t="inlineStr">
        <is>
          <t>GUARD</t>
        </is>
      </c>
      <c r="J27" s="4" t="inlineStr">
        <is>
          <t>NEW IN REV B. Must stay undecoded. Also gives DMA Controller 4 KB of growth room.</t>
        </is>
      </c>
    </row>
    <row customHeight="1" ht="40" r="28">
      <c r="A28" s="36" t="inlineStr">
        <is>
          <t>GRD-11</t>
        </is>
      </c>
      <c r="B28" s="33" t="n">
        <v>268521472</v>
      </c>
      <c r="C28" s="33" t="n">
        <v>268525567</v>
      </c>
      <c r="D28" s="34" t="n">
        <v>4096</v>
      </c>
      <c r="E28" s="35" t="inlineStr">
        <is>
          <t>4 KB</t>
        </is>
      </c>
      <c r="F28" s="32" t="inlineStr">
        <is>
          <t>B. Guard window</t>
        </is>
      </c>
      <c r="G28" s="32" t="inlineStr">
        <is>
          <t>unassigned - isolates SHA-256 Accelerator from Packet Parser / Classifier</t>
        </is>
      </c>
      <c r="H28" s="32" t="inlineStr">
        <is>
          <t>AHB ERROR response from the default slave, by design.</t>
        </is>
      </c>
      <c r="I28" s="41" t="inlineStr">
        <is>
          <t>GUARD</t>
        </is>
      </c>
      <c r="J28" s="32" t="inlineStr">
        <is>
          <t>NEW IN REV B. Must stay undecoded. Also gives SHA-256 Accelerator 4 KB of growth room.</t>
        </is>
      </c>
    </row>
    <row customHeight="1" ht="40" r="29">
      <c r="A29" s="25" t="inlineStr">
        <is>
          <t>GRD-12</t>
        </is>
      </c>
      <c r="B29" s="22" t="n">
        <v>268529664</v>
      </c>
      <c r="C29" s="22" t="n">
        <v>268533759</v>
      </c>
      <c r="D29" s="23" t="n">
        <v>4096</v>
      </c>
      <c r="E29" s="24" t="inlineStr">
        <is>
          <t>4 KB</t>
        </is>
      </c>
      <c r="F29" s="4" t="inlineStr">
        <is>
          <t>B. Guard window</t>
        </is>
      </c>
      <c r="G29" s="4" t="inlineStr">
        <is>
          <t>unassigned - isolates Packet Parser / Classifier from Watchdog Timer</t>
        </is>
      </c>
      <c r="H29" s="4" t="inlineStr">
        <is>
          <t>AHB ERROR response from the default slave, by design.</t>
        </is>
      </c>
      <c r="I29" s="41" t="inlineStr">
        <is>
          <t>GUARD</t>
        </is>
      </c>
      <c r="J29" s="4" t="inlineStr">
        <is>
          <t>NEW IN REV B. Must stay undecoded. Also gives Packet Parser / Classifier 4 KB of growth room.</t>
        </is>
      </c>
    </row>
    <row customHeight="1" ht="40" r="30">
      <c r="A30" s="36" t="inlineStr">
        <is>
          <t>GRD-13</t>
        </is>
      </c>
      <c r="B30" s="33" t="n">
        <v>268537856</v>
      </c>
      <c r="C30" s="33" t="n">
        <v>268541951</v>
      </c>
      <c r="D30" s="34" t="n">
        <v>4096</v>
      </c>
      <c r="E30" s="35" t="inlineStr">
        <is>
          <t>4 KB</t>
        </is>
      </c>
      <c r="F30" s="32" t="inlineStr">
        <is>
          <t>B. Guard window</t>
        </is>
      </c>
      <c r="G30" s="32" t="inlineStr">
        <is>
          <t>unassigned - isolates Watchdog Timer from PRNG</t>
        </is>
      </c>
      <c r="H30" s="32" t="inlineStr">
        <is>
          <t>AHB ERROR response from the default slave, by design.</t>
        </is>
      </c>
      <c r="I30" s="41" t="inlineStr">
        <is>
          <t>GUARD</t>
        </is>
      </c>
      <c r="J30" s="32" t="inlineStr">
        <is>
          <t>NEW IN REV B. Must stay undecoded. Also gives Watchdog Timer 4 KB of growth room.</t>
        </is>
      </c>
    </row>
    <row customHeight="1" ht="40" r="31">
      <c r="A31" s="25" t="inlineStr">
        <is>
          <t>GRD-14</t>
        </is>
      </c>
      <c r="B31" s="22" t="n">
        <v>268546048</v>
      </c>
      <c r="C31" s="22" t="n">
        <v>268550143</v>
      </c>
      <c r="D31" s="23" t="n">
        <v>4096</v>
      </c>
      <c r="E31" s="24" t="inlineStr">
        <is>
          <t>4 KB</t>
        </is>
      </c>
      <c r="F31" s="4" t="inlineStr">
        <is>
          <t>B. Guard window</t>
        </is>
      </c>
      <c r="G31" s="4" t="inlineStr">
        <is>
          <t>unassigned - isolates PRNG from SPI Master</t>
        </is>
      </c>
      <c r="H31" s="4" t="inlineStr">
        <is>
          <t>AHB ERROR response from the default slave, by design.</t>
        </is>
      </c>
      <c r="I31" s="41" t="inlineStr">
        <is>
          <t>GUARD</t>
        </is>
      </c>
      <c r="J31" s="4" t="inlineStr">
        <is>
          <t>NEW IN REV B. Must stay undecoded. Also gives PRNG 4 KB of growth room.</t>
        </is>
      </c>
    </row>
    <row customHeight="1" ht="40" r="32">
      <c r="A32" s="36" t="inlineStr">
        <is>
          <t>GRD-15</t>
        </is>
      </c>
      <c r="B32" s="33" t="n">
        <v>268554240</v>
      </c>
      <c r="C32" s="33" t="n">
        <v>268558335</v>
      </c>
      <c r="D32" s="34" t="n">
        <v>4096</v>
      </c>
      <c r="E32" s="35" t="inlineStr">
        <is>
          <t>4 KB</t>
        </is>
      </c>
      <c r="F32" s="32" t="inlineStr">
        <is>
          <t>B. Guard window</t>
        </is>
      </c>
      <c r="G32" s="32" t="inlineStr">
        <is>
          <t>unassigned - isolates SPI Master from Reserved for expansion</t>
        </is>
      </c>
      <c r="H32" s="32" t="inlineStr">
        <is>
          <t>AHB ERROR response from the default slave, by design.</t>
        </is>
      </c>
      <c r="I32" s="41" t="inlineStr">
        <is>
          <t>GUARD</t>
        </is>
      </c>
      <c r="J32" s="32" t="inlineStr">
        <is>
          <t>NEW IN REV B. Must stay undecoded. Also gives SPI Master 4 KB of growth room.</t>
        </is>
      </c>
    </row>
    <row customHeight="1" ht="40" r="33">
      <c r="A33" s="25" t="inlineStr">
        <is>
          <t>GRD-16</t>
        </is>
      </c>
      <c r="B33" s="22" t="n">
        <v>268562432</v>
      </c>
      <c r="C33" s="22" t="n">
        <v>268566527</v>
      </c>
      <c r="D33" s="23" t="n">
        <v>4096</v>
      </c>
      <c r="E33" s="24" t="inlineStr">
        <is>
          <t>4 KB</t>
        </is>
      </c>
      <c r="F33" s="4" t="inlineStr">
        <is>
          <t>B. Guard window</t>
        </is>
      </c>
      <c r="G33" s="4" t="inlineStr">
        <is>
          <t>unassigned - isolates Reserved for expansion from the top of the aperture</t>
        </is>
      </c>
      <c r="H33" s="4" t="inlineStr">
        <is>
          <t>AHB ERROR response from the default slave, by design.</t>
        </is>
      </c>
      <c r="I33" s="41" t="inlineStr">
        <is>
          <t>GUARD</t>
        </is>
      </c>
      <c r="J33" s="4" t="inlineStr">
        <is>
          <t>NEW IN REV B. Must stay undecoded. Also gives Reserved for expansion 4 KB of growth room.</t>
        </is>
      </c>
    </row>
    <row customHeight="1" ht="30" r="34">
      <c r="A34" s="48" t="inlineStr">
        <is>
          <t>COMPLETENESS PROOF.  Assigned windows on sheet 1 (MEM-01, MEM-02, MMIO-01 to MMIO-06) = 90,112 bytes  |  ranges on this sheet = 4,294,877,184 bytes  |  TOTAL = 4,294,967,296 bytes = 2^32 = 4,294,967,296.  The cell below is a live formula; if it does not read COMPLETE, a range is unaccounted for.</t>
        </is>
      </c>
      <c r="B34" s="44" t="n"/>
      <c r="C34" s="44" t="n"/>
      <c r="D34" s="44" t="n"/>
      <c r="E34" s="44" t="n"/>
      <c r="F34" s="44" t="n"/>
      <c r="G34" s="44" t="n"/>
      <c r="H34" s="44" t="n"/>
      <c r="I34" s="44" t="n"/>
      <c r="J34" s="45" t="n"/>
    </row>
    <row customHeight="1" ht="18" r="35">
      <c r="A35" s="43" t="inlineStr">
        <is>
          <t>TOTAL (assigned + this sheet)</t>
        </is>
      </c>
      <c r="B35" s="44" t="n"/>
      <c r="C35" s="45" t="n"/>
      <c r="D35" s="63">
        <f>90112+SUM(D5:D33)</f>
        <v/>
      </c>
      <c r="E35" s="3">
        <f>IF(D35=4294967296,"COMPLETE - 2^32 ACCOUNTED FOR","GAP IN MAP")</f>
        <v/>
      </c>
      <c r="F35" s="44" t="n"/>
      <c r="G35" s="44" t="n"/>
      <c r="H35" s="44" t="n"/>
      <c r="I35" s="44" t="n"/>
      <c r="J35" s="45" t="n"/>
    </row>
  </sheetData>
  <autoFilter ref="A4:J33"/>
  <mergeCells count="5">
    <mergeCell ref="E35:J35"/>
    <mergeCell ref="A2:J2"/>
    <mergeCell ref="A34:J34"/>
    <mergeCell ref="A35:C35"/>
    <mergeCell ref="A1:J1"/>
  </mergeCells>
  <printOptions horizontalCentered="1"/>
  <pageMargins bottom="0.4" footer="0.5" header="0.5" left="0.3" right="0.3" top="0.4"/>
  <pageSetup fitToHeight="0" fitToWidth="1" orientation="landscape"/>
  <headerFooter>
    <oddHeader/>
    <oddFooter>&amp;C&amp;8 &amp;A  |  Rev B (Re-pitched MMIO aperture, draft for Architecture Freeze)  |  Page &amp;P of &amp;N</oddFooter>
    <evenHeader/>
    <evenFooter/>
    <firstHeader/>
    <firstFooter/>
  </headerFooter>
</worksheet>
</file>

<file path=xl/worksheets/sheet9.xml><?xml version="1.0" encoding="utf-8"?>
<worksheet xmlns="http://schemas.openxmlformats.org/spreadsheetml/2006/main">
  <sheetPr>
    <tabColor rgb="00C00000"/>
    <outlinePr summaryBelow="1" summaryRight="1"/>
    <pageSetUpPr fitToPage="1"/>
  </sheetPr>
  <dimension ref="A1:H31"/>
  <sheetViews>
    <sheetView showGridLines="0" workbookViewId="0">
      <pane activePane="bottomRight" state="frozen" topLeftCell="C5" xSplit="2" ySplit="4"/>
      <selection pane="topRight"/>
      <selection pane="bottomLeft"/>
      <selection activeCell="A1" pane="bottomRight" sqref="A1"/>
    </sheetView>
  </sheetViews>
  <sheetFormatPr baseColWidth="8" defaultRowHeight="15"/>
  <cols>
    <col customWidth="1" max="1" min="1" width="8"/>
    <col customWidth="1" max="2" min="2" width="22"/>
    <col customWidth="1" max="3" min="3" width="48"/>
    <col customWidth="1" max="4" min="4" width="52"/>
    <col customWidth="1" max="5" min="5" width="22"/>
    <col customWidth="1" max="6" min="6" width="12"/>
    <col customWidth="1" max="7" min="7" width="14"/>
    <col customWidth="1" max="8" min="8" width="13"/>
  </cols>
  <sheetData>
    <row customHeight="1" ht="22" r="1">
      <c r="A1" s="15" t="inlineStr">
        <is>
          <t>8. Open Items Before This Map Can Be Frozen</t>
        </is>
      </c>
    </row>
    <row customHeight="1" ht="40" r="2">
      <c r="A2" s="16" t="inlineStr">
        <is>
          <t>Everything that must be resolved before the address map, register maps and interrupt map can be called frozen. Each row names a concrete test-plan consequence. Rev B added three items (24-26) that are specific to the re-pitched aperture.</t>
        </is>
      </c>
      <c r="B2" s="17" t="n"/>
      <c r="C2" s="17" t="n"/>
      <c r="D2" s="17" t="n"/>
      <c r="E2" s="17" t="n"/>
      <c r="F2" s="17" t="n"/>
      <c r="G2" s="17" t="n"/>
      <c r="H2" s="17" t="n"/>
    </row>
    <row customHeight="1" ht="34" r="4">
      <c r="A4" s="18" t="inlineStr">
        <is>
          <t>Item #</t>
        </is>
      </c>
      <c r="B4" s="18" t="inlineStr">
        <is>
          <t>Category</t>
        </is>
      </c>
      <c r="C4" s="18" t="inlineStr">
        <is>
          <t>Open Item</t>
        </is>
      </c>
      <c r="D4" s="18" t="inlineStr">
        <is>
          <t>Why It Blocks the Test Plan</t>
        </is>
      </c>
      <c r="E4" s="18" t="inlineStr">
        <is>
          <t>Source</t>
        </is>
      </c>
      <c r="F4" s="18" t="inlineStr">
        <is>
          <t>Owner</t>
        </is>
      </c>
      <c r="G4" s="18" t="inlineStr">
        <is>
          <t>Target Phase</t>
        </is>
      </c>
      <c r="H4" s="18" t="inlineStr">
        <is>
          <t>Status</t>
        </is>
      </c>
    </row>
    <row customHeight="1" ht="44" r="5">
      <c r="A5" s="25" t="n">
        <v>1</v>
      </c>
      <c r="B5" s="64" t="inlineStr">
        <is>
          <t>Address map</t>
        </is>
      </c>
      <c r="C5" s="4" t="inlineStr">
        <is>
          <t>The six extension windows (MAC, Timestamp, Buffer, DMA, SHA-256, Parser) are planning values only.</t>
        </is>
      </c>
      <c r="D5" s="4" t="inlineStr">
        <is>
          <t>No decode entry, RTL or register map can be written against them. Plan s18 forbids freezing them before the full integration map is reviewed.</t>
        </is>
      </c>
      <c r="E5" s="4" t="inlineStr">
        <is>
          <t>plan s18</t>
        </is>
      </c>
      <c r="F5" s="24" t="inlineStr">
        <is>
          <t>Team</t>
        </is>
      </c>
      <c r="G5" s="58" t="inlineStr">
        <is>
          <t>Phase 0</t>
        </is>
      </c>
      <c r="H5" s="65" t="inlineStr">
        <is>
          <t>OPEN</t>
        </is>
      </c>
    </row>
    <row customHeight="1" ht="44" r="6">
      <c r="A6" s="36" t="n">
        <v>2</v>
      </c>
      <c r="B6" s="66" t="inlineStr">
        <is>
          <t>Address map</t>
        </is>
      </c>
      <c r="C6" s="32" t="inlineStr">
        <is>
          <t>Watchdog, PRNG and SPI have no address in the plan; the Rev B assignments are provisional.</t>
        </is>
      </c>
      <c r="D6" s="32" t="inlineStr">
        <is>
          <t>If these blocks are dropped the slot numbering shifts and every downstream test name changes. Decide scope before writing test names.</t>
        </is>
      </c>
      <c r="E6" s="32" t="inlineStr">
        <is>
          <t>plan s4.3, s28</t>
        </is>
      </c>
      <c r="F6" s="35" t="inlineStr">
        <is>
          <t>Team</t>
        </is>
      </c>
      <c r="G6" s="60" t="inlineStr">
        <is>
          <t>Phase 0</t>
        </is>
      </c>
      <c r="H6" s="65" t="inlineStr">
        <is>
          <t>OPEN</t>
        </is>
      </c>
    </row>
    <row customHeight="1" ht="44" r="7">
      <c r="A7" s="25" t="n">
        <v>3</v>
      </c>
      <c r="B7" s="64" t="inlineStr">
        <is>
          <t>Address map</t>
        </is>
      </c>
      <c r="C7" s="4" t="inlineStr">
        <is>
          <t>All eight AXI slots are consumed by IMEM, DMEM and the six frozen peripherals. The six new blocks have no AXI slot.</t>
        </is>
      </c>
      <c r="D7" s="4" t="inlineStr">
        <is>
          <t>Determines whether the new peripherals attach as direct AHB slaves or the AXI wrapper must grow past eight windows. Changes the entire stimulus architecture of the integration tests.</t>
        </is>
      </c>
      <c r="E7" s="4" t="inlineStr">
        <is>
          <t>rtl/interconnects/axi_interconnect_wrap_2x8.v</t>
        </is>
      </c>
      <c r="F7" s="24" t="inlineStr">
        <is>
          <t>Team</t>
        </is>
      </c>
      <c r="G7" s="58" t="inlineStr">
        <is>
          <t>Phase 0</t>
        </is>
      </c>
      <c r="H7" s="65" t="inlineStr">
        <is>
          <t>OPEN</t>
        </is>
      </c>
    </row>
    <row customHeight="1" ht="44" r="8">
      <c r="A8" s="36" t="n">
        <v>4</v>
      </c>
      <c r="B8" s="66" t="inlineStr">
        <is>
          <t>Address map</t>
        </is>
      </c>
      <c r="C8" s="32" t="inlineStr">
        <is>
          <t>AHB fabric is a 4-way decode (IMEM / DMEM / UART / default). Fifteen of sixteen peripheral windows and all sixteen guards currently hit the ERROR slave.</t>
        </is>
      </c>
      <c r="D8" s="32" t="inlineStr">
        <is>
          <t>Every peripheral integration test starts from a different expectation. Fix the target slave list per window before writing assertions.</t>
        </is>
      </c>
      <c r="E8" s="32" t="inlineStr">
        <is>
          <t>rtl/ahb/ahb_interconnect.sv:171-174</t>
        </is>
      </c>
      <c r="F8" s="35" t="inlineStr">
        <is>
          <t>Team</t>
        </is>
      </c>
      <c r="G8" s="60" t="inlineStr">
        <is>
          <t>Phase 1</t>
        </is>
      </c>
      <c r="H8" s="65" t="inlineStr">
        <is>
          <t>OPEN</t>
        </is>
      </c>
    </row>
    <row customHeight="1" ht="44" r="9">
      <c r="A9" s="25" t="n">
        <v>5</v>
      </c>
      <c r="B9" s="64" t="inlineStr">
        <is>
          <t>Register map</t>
        </is>
      </c>
      <c r="C9" s="4" t="inlineStr">
        <is>
          <t>UART register map: v3 s10.1 does not match the IP. IP-native (0x00 THR/RBR, 0x04 IER, 0x08 baud with DLAB=1, 0x0C LCR, 0x14 LSR) is the source of truth.</t>
        </is>
      </c>
      <c r="D9" s="4" t="inlineStr">
        <is>
          <t>A driver written to the v3 table reads the wrong register at 0x08 and misses LSR at 0x14, so every UART poll hangs. Amend v3 s10.1.</t>
        </is>
      </c>
      <c r="E9" s="4" t="inlineStr">
        <is>
          <t>Phase3 record s6.1</t>
        </is>
      </c>
      <c r="F9" s="24" t="inlineStr">
        <is>
          <t>Team</t>
        </is>
      </c>
      <c r="G9" s="58" t="inlineStr">
        <is>
          <t>Phase 0</t>
        </is>
      </c>
      <c r="H9" s="65" t="inlineStr">
        <is>
          <t>OPEN</t>
        </is>
      </c>
    </row>
    <row customHeight="1" ht="44" r="10">
      <c r="A10" s="36" t="n">
        <v>6</v>
      </c>
      <c r="B10" s="66" t="inlineStr">
        <is>
          <t>Register map</t>
        </is>
      </c>
      <c r="C10" s="32" t="inlineStr">
        <is>
          <t>NTE.STATUS bit allocation is not frozen (PARSER_BUSY, PACKET_READY, CRC_FAIL, OVERFLOW, PACKET_ERROR).</t>
        </is>
      </c>
      <c r="D10" s="32" t="inlineStr">
        <is>
          <t>Cannot write bit-level assertions or a driver. Reserved-bit-reads-zero is specified but the positions are not.</t>
        </is>
      </c>
      <c r="E10" s="32" t="inlineStr">
        <is>
          <t>v3 s10.4</t>
        </is>
      </c>
      <c r="F10" s="35" t="inlineStr">
        <is>
          <t>Team</t>
        </is>
      </c>
      <c r="G10" s="60" t="inlineStr">
        <is>
          <t>Phase 4</t>
        </is>
      </c>
      <c r="H10" s="65" t="inlineStr">
        <is>
          <t>OPEN</t>
        </is>
      </c>
    </row>
    <row customHeight="1" ht="44" r="11">
      <c r="A11" s="25" t="n">
        <v>7</v>
      </c>
      <c r="B11" s="64" t="inlineStr">
        <is>
          <t>Register map</t>
        </is>
      </c>
      <c r="C11" s="4" t="inlineStr">
        <is>
          <t>CRC-32 STATUS must distinguish result value, FCS valid, FCS pass and FCS fail - positions not allocated.</t>
        </is>
      </c>
      <c r="D11" s="4" t="inlineStr">
        <is>
          <t>FCS pass/fail cannot be checked without knowing the bits. This is the core of the CRC test.</t>
        </is>
      </c>
      <c r="E11" s="4" t="inlineStr">
        <is>
          <t>v3 s10.6</t>
        </is>
      </c>
      <c r="F11" s="24" t="inlineStr">
        <is>
          <t>Team</t>
        </is>
      </c>
      <c r="G11" s="58" t="inlineStr">
        <is>
          <t>Phase 2</t>
        </is>
      </c>
      <c r="H11" s="65" t="inlineStr">
        <is>
          <t>OPEN</t>
        </is>
      </c>
    </row>
    <row customHeight="1" ht="44" r="12">
      <c r="A12" s="36" t="n">
        <v>8</v>
      </c>
      <c r="B12" s="66" t="inlineStr">
        <is>
          <t>Register map</t>
        </is>
      </c>
      <c r="C12" s="32" t="inlineStr">
        <is>
          <t>SHA-256 register map is explicitly an open item.</t>
        </is>
      </c>
      <c r="D12" s="32" t="inlineStr">
        <is>
          <t>No SHA-256 driver, stimulus or digest readback check can be written.</t>
        </is>
      </c>
      <c r="E12" s="32" t="inlineStr">
        <is>
          <t>plan s32 item 10</t>
        </is>
      </c>
      <c r="F12" s="35" t="inlineStr">
        <is>
          <t>Team</t>
        </is>
      </c>
      <c r="G12" s="60" t="inlineStr">
        <is>
          <t>Phase 7</t>
        </is>
      </c>
      <c r="H12" s="65" t="inlineStr">
        <is>
          <t>OPEN</t>
        </is>
      </c>
    </row>
    <row customHeight="1" ht="44" r="13">
      <c r="A13" s="25" t="n">
        <v>9</v>
      </c>
      <c r="B13" s="64" t="inlineStr">
        <is>
          <t>Register map</t>
        </is>
      </c>
      <c r="C13" s="4" t="inlineStr">
        <is>
          <t>Packet / Flow Buffer depth, entry width, descriptor format, overflow behaviour and full/empty semantics are unfrozen.</t>
        </is>
      </c>
      <c r="D13" s="4" t="inlineStr">
        <is>
          <t>Buffer wraparound and overflow tests cannot be specified - these are the plan's own Phase 5 gate.</t>
        </is>
      </c>
      <c r="E13" s="4" t="inlineStr">
        <is>
          <t>plan s12.4</t>
        </is>
      </c>
      <c r="F13" s="24" t="inlineStr">
        <is>
          <t>Team</t>
        </is>
      </c>
      <c r="G13" s="58" t="inlineStr">
        <is>
          <t>Phase 5</t>
        </is>
      </c>
      <c r="H13" s="65" t="inlineStr">
        <is>
          <t>OPEN</t>
        </is>
      </c>
    </row>
    <row customHeight="1" ht="44" r="14">
      <c r="A14" s="36" t="n">
        <v>10</v>
      </c>
      <c r="B14" s="66" t="inlineStr">
        <is>
          <t>Register map</t>
        </is>
      </c>
      <c r="C14" s="32" t="inlineStr">
        <is>
          <t>DMA channel count and descriptor format are unfrozen. Single-channel is stated as sufficient but not formally fixed.</t>
        </is>
      </c>
      <c r="D14" s="32" t="inlineStr">
        <is>
          <t>Determines how many transfer scenarios the plan must cover.</t>
        </is>
      </c>
      <c r="E14" s="32" t="inlineStr">
        <is>
          <t>plan s13.3, s32 item 9</t>
        </is>
      </c>
      <c r="F14" s="35" t="inlineStr">
        <is>
          <t>Team</t>
        </is>
      </c>
      <c r="G14" s="60" t="inlineStr">
        <is>
          <t>Phase 6</t>
        </is>
      </c>
      <c r="H14" s="65" t="inlineStr">
        <is>
          <t>OPEN</t>
        </is>
      </c>
    </row>
    <row customHeight="1" ht="44" r="15">
      <c r="A15" s="25" t="n">
        <v>11</v>
      </c>
      <c r="B15" s="64" t="inlineStr">
        <is>
          <t>Register map</t>
        </is>
      </c>
      <c r="C15" s="4" t="inlineStr">
        <is>
          <t>Telemetry record field allocation is tied to the frozen architecture spec and must not change silently during integration.</t>
        </is>
      </c>
      <c r="D15" s="4" t="inlineStr">
        <is>
          <t>The 128-bit record layout is the input to both the AES and SHA-256 known-answer tests. A late change invalidates both.</t>
        </is>
      </c>
      <c r="E15" s="4" t="inlineStr">
        <is>
          <t>plan s21</t>
        </is>
      </c>
      <c r="F15" s="24" t="inlineStr">
        <is>
          <t>Team</t>
        </is>
      </c>
      <c r="G15" s="58" t="inlineStr">
        <is>
          <t>Phase 0</t>
        </is>
      </c>
      <c r="H15" s="65" t="inlineStr">
        <is>
          <t>OPEN</t>
        </is>
      </c>
    </row>
    <row customHeight="1" ht="44" r="16">
      <c r="A16" s="36" t="n">
        <v>12</v>
      </c>
      <c r="B16" s="66" t="inlineStr">
        <is>
          <t>Interrupt map</t>
        </is>
      </c>
      <c r="C16" s="32" t="inlineStr">
        <is>
          <t>New interrupt source IDs (4-8 proposed) are not frozen, and the source-ID to machine-cause mapping is undocumented.</t>
        </is>
      </c>
      <c r="D16" s="32" t="inlineStr">
        <is>
          <t>Cannot write an interrupt test until the expected cause is known, nor a driver until the ID is fixed.</t>
        </is>
      </c>
      <c r="E16" s="32" t="inlineStr">
        <is>
          <t>plan s19, s32 item 12</t>
        </is>
      </c>
      <c r="F16" s="35" t="inlineStr">
        <is>
          <t>Team</t>
        </is>
      </c>
      <c r="G16" s="60" t="inlineStr">
        <is>
          <t>Phase 0</t>
        </is>
      </c>
      <c r="H16" s="65" t="inlineStr">
        <is>
          <t>OPEN</t>
        </is>
      </c>
    </row>
    <row customHeight="1" ht="44" r="17">
      <c r="A17" s="25" t="n">
        <v>13</v>
      </c>
      <c r="B17" s="64" t="inlineStr">
        <is>
          <t>Interrupt map</t>
        </is>
      </c>
      <c r="C17" s="4" t="inlineStr">
        <is>
          <t>VeeR PIC / CLINT control-register base address is not stated in any project document.</t>
        </is>
      </c>
      <c r="D17" s="4" t="inlineStr">
        <is>
          <t>Software that configures the PIC needs the address. Confirm against the VeeR EL2 PRM rather than assuming.</t>
        </is>
      </c>
      <c r="E17" s="4" t="inlineStr">
        <is>
          <t>v3 s12.1 (open)</t>
        </is>
      </c>
      <c r="F17" s="24" t="inlineStr">
        <is>
          <t>Team</t>
        </is>
      </c>
      <c r="G17" s="58" t="inlineStr">
        <is>
          <t>Phase 0</t>
        </is>
      </c>
      <c r="H17" s="65" t="inlineStr">
        <is>
          <t>OPEN</t>
        </is>
      </c>
    </row>
    <row customHeight="1" ht="44" r="18">
      <c r="A18" s="36" t="n">
        <v>14</v>
      </c>
      <c r="B18" s="66" t="inlineStr">
        <is>
          <t>Interrupt map</t>
        </is>
      </c>
      <c r="C18" s="32" t="inlineStr">
        <is>
          <t>Whether CRC and the Parser need their own interrupt lines, or report through NTE, is undecided.</t>
        </is>
      </c>
      <c r="D18" s="32" t="inlineStr">
        <is>
          <t>Changes the number of interrupt test cases and the aggregation logic under test.</t>
        </is>
      </c>
      <c r="E18" s="32" t="inlineStr">
        <is>
          <t>plan s8, s10</t>
        </is>
      </c>
      <c r="F18" s="35" t="inlineStr">
        <is>
          <t>Team</t>
        </is>
      </c>
      <c r="G18" s="60" t="inlineStr">
        <is>
          <t>Phase 2</t>
        </is>
      </c>
      <c r="H18" s="65" t="inlineStr">
        <is>
          <t>OPEN</t>
        </is>
      </c>
    </row>
    <row customHeight="1" ht="44" r="19">
      <c r="A19" s="25" t="n">
        <v>15</v>
      </c>
      <c r="B19" s="64" t="inlineStr">
        <is>
          <t>Interfaces</t>
        </is>
      </c>
      <c r="C19" s="4" t="inlineStr">
        <is>
          <t>Ethernet MAC external interface is undecided: MII, GMII, RGMII, or a simulation-only stream.</t>
        </is>
      </c>
      <c r="D19" s="4" t="inlineStr">
        <is>
          <t>Determines the PHY model, the clock domain strategy and the MAC testbench top-level port list.</t>
        </is>
      </c>
      <c r="E19" s="4" t="inlineStr">
        <is>
          <t>plan s32 item 1</t>
        </is>
      </c>
      <c r="F19" s="24" t="inlineStr">
        <is>
          <t>Team</t>
        </is>
      </c>
      <c r="G19" s="58" t="inlineStr">
        <is>
          <t>Phase 1</t>
        </is>
      </c>
      <c r="H19" s="65" t="inlineStr">
        <is>
          <t>OPEN</t>
        </is>
      </c>
    </row>
    <row customHeight="1" ht="44" r="20">
      <c r="A20" s="36" t="n">
        <v>16</v>
      </c>
      <c r="B20" s="66" t="inlineStr">
        <is>
          <t>Interfaces</t>
        </is>
      </c>
      <c r="C20" s="32" t="inlineStr">
        <is>
          <t>Timestamp capture event is undecided: first byte, last byte, or accepted packet boundary.</t>
        </is>
      </c>
      <c r="D20" s="32" t="inlineStr">
        <is>
          <t>The timestamp known-answer test cannot be written without knowing exactly which edge is captured.</t>
        </is>
      </c>
      <c r="E20" s="32" t="inlineStr">
        <is>
          <t>plan s9.3, s32 item 4</t>
        </is>
      </c>
      <c r="F20" s="35" t="inlineStr">
        <is>
          <t>Team</t>
        </is>
      </c>
      <c r="G20" s="60" t="inlineStr">
        <is>
          <t>Phase 2</t>
        </is>
      </c>
      <c r="H20" s="65" t="inlineStr">
        <is>
          <t>OPEN</t>
        </is>
      </c>
    </row>
    <row customHeight="1" ht="44" r="21">
      <c r="A21" s="25" t="n">
        <v>17</v>
      </c>
      <c r="B21" s="64" t="inlineStr">
        <is>
          <t>Interfaces</t>
        </is>
      </c>
      <c r="C21" s="4" t="inlineStr">
        <is>
          <t>Timestamp counter width and rollover behaviour are undecided.</t>
        </is>
      </c>
      <c r="D21" s="4" t="inlineStr">
        <is>
          <t>A wraparound test needs a known period; 32-bit vs 64-bit changes both the RTL and the test.</t>
        </is>
      </c>
      <c r="E21" s="4" t="inlineStr">
        <is>
          <t>plan s32 item 5</t>
        </is>
      </c>
      <c r="F21" s="24" t="inlineStr">
        <is>
          <t>Team</t>
        </is>
      </c>
      <c r="G21" s="58" t="inlineStr">
        <is>
          <t>Phase 2</t>
        </is>
      </c>
      <c r="H21" s="65" t="inlineStr">
        <is>
          <t>OPEN</t>
        </is>
      </c>
    </row>
    <row customHeight="1" ht="44" r="22">
      <c r="A22" s="36" t="n">
        <v>18</v>
      </c>
      <c r="B22" s="66" t="inlineStr">
        <is>
          <t>Interfaces</t>
        </is>
      </c>
      <c r="C22" s="32" t="inlineStr">
        <is>
          <t>Parser scope is undecided: Ethernet II only, +IPv4, or +IPv4+UDP.</t>
        </is>
      </c>
      <c r="D22" s="32" t="inlineStr">
        <is>
          <t>Sets the length of the metadata test vector list. Ethernet II is the declared safe baseline.</t>
        </is>
      </c>
      <c r="E22" s="32" t="inlineStr">
        <is>
          <t>plan s10.2, s33.1</t>
        </is>
      </c>
      <c r="F22" s="35" t="inlineStr">
        <is>
          <t>Team</t>
        </is>
      </c>
      <c r="G22" s="60" t="inlineStr">
        <is>
          <t>Phase 3</t>
        </is>
      </c>
      <c r="H22" s="65" t="inlineStr">
        <is>
          <t>OPEN</t>
        </is>
      </c>
    </row>
    <row customHeight="1" ht="44" r="23">
      <c r="A23" s="25" t="n">
        <v>19</v>
      </c>
      <c r="B23" s="64" t="inlineStr">
        <is>
          <t>Interfaces</t>
        </is>
      </c>
      <c r="C23" s="4" t="inlineStr">
        <is>
          <t>Classifier rule count and rule format are undecided.</t>
        </is>
      </c>
      <c r="D23" s="4" t="inlineStr">
        <is>
          <t>Rule-programming tests cannot be enumerated. Keep the first mechanism small and deterministic.</t>
        </is>
      </c>
      <c r="E23" s="4" t="inlineStr">
        <is>
          <t>plan s10.3, s32 item 7</t>
        </is>
      </c>
      <c r="F23" s="24" t="inlineStr">
        <is>
          <t>Team</t>
        </is>
      </c>
      <c r="G23" s="58" t="inlineStr">
        <is>
          <t>Phase 3</t>
        </is>
      </c>
      <c r="H23" s="65" t="inlineStr">
        <is>
          <t>OPEN</t>
        </is>
      </c>
    </row>
    <row customHeight="1" ht="44" r="24">
      <c r="A24" s="36" t="n">
        <v>20</v>
      </c>
      <c r="B24" s="66" t="inlineStr">
        <is>
          <t>Interfaces</t>
        </is>
      </c>
      <c r="C24" s="32" t="inlineStr">
        <is>
          <t>Packet-stream handshake between MAC and downstream blocks is undecided.</t>
        </is>
      </c>
      <c r="D24" s="32" t="inlineStr">
        <is>
          <t>Every data-plane testbench needs a driver for that handshake; it is the largest unverified interface in the plan.</t>
        </is>
      </c>
      <c r="E24" s="32" t="inlineStr">
        <is>
          <t>plan s32 item 3</t>
        </is>
      </c>
      <c r="F24" s="35" t="inlineStr">
        <is>
          <t>Team</t>
        </is>
      </c>
      <c r="G24" s="60" t="inlineStr">
        <is>
          <t>Phase 1</t>
        </is>
      </c>
      <c r="H24" s="65" t="inlineStr">
        <is>
          <t>OPEN</t>
        </is>
      </c>
    </row>
    <row customHeight="1" ht="44" r="25">
      <c r="A25" s="25" t="n">
        <v>21</v>
      </c>
      <c r="B25" s="64" t="inlineStr">
        <is>
          <t>Interfaces</t>
        </is>
      </c>
      <c r="C25" s="4" t="inlineStr">
        <is>
          <t>Clock and reset domain strategy across MAC, Timestamp and data plane is undecided.</t>
        </is>
      </c>
      <c r="D25" s="4" t="inlineStr">
        <is>
          <t>Determines whether the data plane is synchronous to clk, and whether CDC handling appears in the test plan.</t>
        </is>
      </c>
      <c r="E25" s="4" t="inlineStr">
        <is>
          <t>plan s32 items 2, 13</t>
        </is>
      </c>
      <c r="F25" s="24" t="inlineStr">
        <is>
          <t>Team</t>
        </is>
      </c>
      <c r="G25" s="58" t="inlineStr">
        <is>
          <t>Phase 0</t>
        </is>
      </c>
      <c r="H25" s="65" t="inlineStr">
        <is>
          <t>OPEN</t>
        </is>
      </c>
    </row>
    <row customHeight="1" ht="44" r="26">
      <c r="A26" s="36" t="n">
        <v>22</v>
      </c>
      <c r="B26" s="66" t="inlineStr">
        <is>
          <t>Status</t>
        </is>
      </c>
      <c r="C26" s="32" t="inlineStr">
        <is>
          <t>AES completion / DONE / interrupt closure is recorded as pending in the group plan, while the repo README records 19 PASS / 0 FAIL on the isolated AXI fabric.</t>
        </is>
      </c>
      <c r="D26" s="32" t="inlineStr">
        <is>
          <t>Two documents disagree. Reconcile before writing the AES-on-SoC gate, otherwise the test plan asserts the wrong baseline.</t>
        </is>
      </c>
      <c r="E26" s="32" t="inlineStr">
        <is>
          <t>plan s14.3, s27.4 vs README s6.4</t>
        </is>
      </c>
      <c r="F26" s="35" t="inlineStr">
        <is>
          <t>Team</t>
        </is>
      </c>
      <c r="G26" s="60" t="inlineStr">
        <is>
          <t>Phase 0</t>
        </is>
      </c>
      <c r="H26" s="65" t="inlineStr">
        <is>
          <t>OPEN</t>
        </is>
      </c>
    </row>
    <row customHeight="1" ht="44" r="27">
      <c r="A27" s="25" t="n">
        <v>23</v>
      </c>
      <c r="B27" s="64" t="inlineStr">
        <is>
          <t>Status</t>
        </is>
      </c>
      <c r="C27" s="4" t="inlineStr">
        <is>
          <t>Whether external Ethernet PHY hardware is required for the final demonstration, or simulation is sufficient.</t>
        </is>
      </c>
      <c r="D27" s="4" t="inlineStr">
        <is>
          <t>Decides whether board-level I/O appears in the test plan and whether a PHY model must be written.</t>
        </is>
      </c>
      <c r="E27" s="4" t="inlineStr">
        <is>
          <t>plan s32 item 15</t>
        </is>
      </c>
      <c r="F27" s="24" t="inlineStr">
        <is>
          <t>Team</t>
        </is>
      </c>
      <c r="G27" s="58" t="inlineStr">
        <is>
          <t>Phase 1</t>
        </is>
      </c>
      <c r="H27" s="65" t="inlineStr">
        <is>
          <t>OPEN</t>
        </is>
      </c>
    </row>
    <row customHeight="1" ht="44" r="28">
      <c r="A28" s="36" t="n">
        <v>24</v>
      </c>
      <c r="B28" s="66" t="inlineStr">
        <is>
          <t>Rev B change</t>
        </is>
      </c>
      <c r="C28" s="32" t="inlineStr">
        <is>
          <t>v3 s9 freezes five addresses that Rev B relocates: Timer, GPIO, NTE, AES and CRC32 all move.</t>
        </is>
      </c>
      <c r="D28" s="32" t="inlineStr">
        <is>
          <t>Any document, driver or testbench written against v3 s9 now addresses the wrong peripheral. v3 s9 must be amended before the test plan is baselined.</t>
        </is>
      </c>
      <c r="E28" s="32" t="inlineStr">
        <is>
          <t>v3 s9 vs this workbook</t>
        </is>
      </c>
      <c r="F28" s="35" t="inlineStr">
        <is>
          <t>Team</t>
        </is>
      </c>
      <c r="G28" s="60" t="inlineStr">
        <is>
          <t>Phase 0</t>
        </is>
      </c>
      <c r="H28" s="65" t="inlineStr">
        <is>
          <t>OPEN</t>
        </is>
      </c>
    </row>
    <row customHeight="1" ht="44" r="29">
      <c r="A29" s="25" t="n">
        <v>25</v>
      </c>
      <c r="B29" s="64" t="inlineStr">
        <is>
          <t>Rev B change</t>
        </is>
      </c>
      <c r="C29" s="4" t="inlineStr">
        <is>
          <t>The AXI interconnect M03-M07 base addresses must all be re-parameterised, and the AES 2-master regression must be re-run.</t>
        </is>
      </c>
      <c r="D29" s="4" t="inlineStr">
        <is>
          <t>The verified AES log recorded M06 = 0x10004000. Under Rev B that address is GPIO. The known-answer vector must be re-proved at the new base before it can be cited as a baseline.</t>
        </is>
      </c>
      <c r="E29" s="4" t="inlineStr">
        <is>
          <t>axi_interconnect_wrap_2x8.v; AES record</t>
        </is>
      </c>
      <c r="F29" s="24" t="inlineStr">
        <is>
          <t>Team</t>
        </is>
      </c>
      <c r="G29" s="58" t="inlineStr">
        <is>
          <t>Phase 0</t>
        </is>
      </c>
      <c r="H29" s="65" t="inlineStr">
        <is>
          <t>OPEN</t>
        </is>
      </c>
    </row>
    <row customHeight="1" ht="44" r="30">
      <c r="A30" s="36" t="n">
        <v>26</v>
      </c>
      <c r="B30" s="66" t="inlineStr">
        <is>
          <t>Rev B change</t>
        </is>
      </c>
      <c r="C30" s="32" t="inlineStr">
        <is>
          <t>Whether the 16 guard windows stay permanently undecoded, or are offered to a peripheral as growth space, is undecided.</t>
        </is>
      </c>
      <c r="D30" s="32" t="inlineStr">
        <is>
          <t>Decides the expected access behaviour of 64 KB of address space. Permanently reserved means a permanent ERROR test; growth space means a re-pitch is needed first.</t>
        </is>
      </c>
      <c r="E30" s="32" t="inlineStr">
        <is>
          <t>Derived - Rev B</t>
        </is>
      </c>
      <c r="F30" s="35" t="inlineStr">
        <is>
          <t>Team</t>
        </is>
      </c>
      <c r="G30" s="60" t="inlineStr">
        <is>
          <t>Phase 0</t>
        </is>
      </c>
      <c r="H30" s="65" t="inlineStr">
        <is>
          <t>OPEN</t>
        </is>
      </c>
    </row>
    <row r="31">
      <c r="A31" s="3" t="inlineStr">
        <is>
          <t>None of these 26 items is closed at Rev B. Items 1-5, 11-13, 21 and 24-26 gate the test plan directly; the rest gate specific cases within it.</t>
        </is>
      </c>
      <c r="B31" s="44" t="n"/>
      <c r="C31" s="44" t="n"/>
      <c r="D31" s="44" t="n"/>
      <c r="E31" s="44" t="n"/>
      <c r="F31" s="44" t="n"/>
      <c r="G31" s="44" t="n"/>
      <c r="H31" s="45" t="n"/>
    </row>
  </sheetData>
  <autoFilter ref="A4:H30"/>
  <mergeCells count="3">
    <mergeCell ref="A2:H2"/>
    <mergeCell ref="A1:H1"/>
    <mergeCell ref="A31:H31"/>
  </mergeCells>
  <printOptions horizontalCentered="1"/>
  <pageMargins bottom="0.4" footer="0.5" header="0.5" left="0.3" right="0.3" top="0.4"/>
  <pageSetup fitToHeight="0" fitToWidth="1" orientation="landscape"/>
  <headerFooter>
    <oddHeader/>
    <oddFooter>&amp;C&amp;8 &amp;A  |  Rev B (Re-pitched MMIO aperture, draft for Architecture Freeze)  |  Page &amp;P of &amp;N</oddFooter>
    <evenHeader/>
    <evenFooter/>
    <firstHeader/>
    <firstFooter/>
  </headerFooter>
</worksheet>
</file>

<file path=xl/worksheets/sheet10.xml><?xml version="1.0" encoding="utf-8"?>
<worksheet xmlns="http://schemas.openxmlformats.org/spreadsheetml/2006/main">
  <sheetPr>
    <tabColor rgb="007030A0"/>
    <outlinePr summaryBelow="1" summaryRight="1"/>
    <pageSetUpPr fitToPage="1"/>
  </sheetPr>
  <dimension ref="A1:K22"/>
  <sheetViews>
    <sheetView showGridLines="0" workbookViewId="0">
      <pane activePane="bottomRight" state="frozen" topLeftCell="C5" xSplit="2" ySplit="4"/>
      <selection pane="topRight"/>
      <selection pane="bottomLeft"/>
      <selection activeCell="A1" pane="bottomRight" sqref="A1"/>
    </sheetView>
  </sheetViews>
  <sheetFormatPr baseColWidth="8" defaultRowHeight="15"/>
  <cols>
    <col customWidth="1" max="1" min="1" width="10"/>
    <col customWidth="1" max="2" min="2" width="28"/>
    <col customWidth="1" max="3" min="3" width="15"/>
    <col customWidth="1" max="4" min="4" width="15"/>
    <col customWidth="1" max="5" min="5" width="15"/>
    <col customWidth="1" max="6" min="6" width="15"/>
    <col customWidth="1" max="7" min="7" width="11"/>
    <col customWidth="1" max="8" min="8" width="14"/>
    <col customWidth="1" max="9" min="9" width="16"/>
    <col customWidth="1" max="10" min="10" width="24"/>
    <col customWidth="1" max="11" min="11" width="58"/>
  </cols>
  <sheetData>
    <row customHeight="1" ht="22" r="1">
      <c r="A1" s="15" t="inlineStr">
        <is>
          <t>9. Change Log - Rev A to Rev B</t>
        </is>
      </c>
    </row>
    <row customHeight="1" ht="40" r="2">
      <c r="A2" s="16" t="inlineStr">
        <is>
          <t>Every address that moved, with its consequence. Rev B re-pitches the peripheral aperture from 4 KB contiguous to 8 KB (4 KB window + 4 KB guard). UART does not move: it is pinned by rtl/uart/uart_axi_slave.v UART_BASE and by AXI window M02.</t>
        </is>
      </c>
      <c r="B2" s="17" t="n"/>
      <c r="C2" s="17" t="n"/>
      <c r="D2" s="17" t="n"/>
      <c r="E2" s="17" t="n"/>
      <c r="F2" s="17" t="n"/>
      <c r="G2" s="17" t="n"/>
      <c r="H2" s="17" t="n"/>
      <c r="I2" s="17" t="n"/>
      <c r="J2" s="17" t="n"/>
      <c r="K2" s="17" t="n"/>
    </row>
    <row customHeight="1" ht="34" r="4">
      <c r="A4" s="18" t="inlineStr">
        <is>
          <t>Window ID</t>
        </is>
      </c>
      <c r="B4" s="18" t="inlineStr">
        <is>
          <t>Block</t>
        </is>
      </c>
      <c r="C4" s="18" t="inlineStr">
        <is>
          <t>Rev A Start</t>
        </is>
      </c>
      <c r="D4" s="18" t="inlineStr">
        <is>
          <t>Rev A End</t>
        </is>
      </c>
      <c r="E4" s="18" t="inlineStr">
        <is>
          <t>Rev B Start</t>
        </is>
      </c>
      <c r="F4" s="18" t="inlineStr">
        <is>
          <t>Rev B End</t>
        </is>
      </c>
      <c r="G4" s="18" t="inlineStr">
        <is>
          <t>Moved?</t>
        </is>
      </c>
      <c r="H4" s="18" t="inlineStr">
        <is>
          <t>Size Change</t>
        </is>
      </c>
      <c r="I4" s="18" t="inlineStr">
        <is>
          <t>Guard Window Added</t>
        </is>
      </c>
      <c r="J4" s="18" t="inlineStr">
        <is>
          <t>Guard Range</t>
        </is>
      </c>
      <c r="K4" s="18" t="inlineStr">
        <is>
          <t>Consequence</t>
        </is>
      </c>
    </row>
    <row customHeight="1" ht="46" r="5">
      <c r="A5" s="25" t="inlineStr">
        <is>
          <t>MMIO-01</t>
        </is>
      </c>
      <c r="B5" s="21" t="inlineStr">
        <is>
          <t>UART</t>
        </is>
      </c>
      <c r="C5" s="22" t="n">
        <v>268435456</v>
      </c>
      <c r="D5" s="22" t="n">
        <v>268439551</v>
      </c>
      <c r="E5" s="22" t="n">
        <v>268435456</v>
      </c>
      <c r="F5" s="22" t="n">
        <v>268439551</v>
      </c>
      <c r="G5" s="67" t="inlineStr">
        <is>
          <t>NO</t>
        </is>
      </c>
      <c r="H5" s="24" t="inlineStr">
        <is>
          <t>none - still 4 KB</t>
        </is>
      </c>
      <c r="I5" s="25" t="inlineStr">
        <is>
          <t>GRD-01</t>
        </is>
      </c>
      <c r="J5" s="50" t="inlineStr">
        <is>
          <t>0x10001000 - 0x10001FFF</t>
        </is>
      </c>
      <c r="K5" s="4" t="inlineStr">
        <is>
          <t>NONE. Base, AXI window M02 and the Phase-3 E2E result are all unaffected. This is the one row that does not need re-verification for the re-pitch itself.</t>
        </is>
      </c>
    </row>
    <row customHeight="1" ht="46" r="6">
      <c r="A6" s="36" t="inlineStr">
        <is>
          <t>MMIO-02</t>
        </is>
      </c>
      <c r="B6" s="31" t="inlineStr">
        <is>
          <t>Timer</t>
        </is>
      </c>
      <c r="C6" s="33" t="n">
        <v>268439552</v>
      </c>
      <c r="D6" s="33" t="n">
        <v>268443647</v>
      </c>
      <c r="E6" s="33" t="n">
        <v>268443648</v>
      </c>
      <c r="F6" s="33" t="n">
        <v>268447743</v>
      </c>
      <c r="G6" s="68" t="inlineStr">
        <is>
          <t>YES</t>
        </is>
      </c>
      <c r="H6" s="35" t="inlineStr">
        <is>
          <t>none - still 4 KB</t>
        </is>
      </c>
      <c r="I6" s="36" t="inlineStr">
        <is>
          <t>GRD-02</t>
        </is>
      </c>
      <c r="J6" s="54" t="inlineStr">
        <is>
          <t>0x10003000 - 0x10003FFF</t>
        </is>
      </c>
      <c r="K6" s="32" t="inlineStr">
        <is>
          <t>v3 s9 amendment required. AXI M03 must move 0x10001000 -&gt; 0x10002000. New guard GRD-01 at 0x10001000 is a negative-test target.</t>
        </is>
      </c>
    </row>
    <row customHeight="1" ht="46" r="7">
      <c r="A7" s="25" t="inlineStr">
        <is>
          <t>MMIO-03</t>
        </is>
      </c>
      <c r="B7" s="21" t="inlineStr">
        <is>
          <t>GPIO</t>
        </is>
      </c>
      <c r="C7" s="22" t="n">
        <v>268443648</v>
      </c>
      <c r="D7" s="22" t="n">
        <v>268447743</v>
      </c>
      <c r="E7" s="22" t="n">
        <v>268451840</v>
      </c>
      <c r="F7" s="22" t="n">
        <v>268455935</v>
      </c>
      <c r="G7" s="68" t="inlineStr">
        <is>
          <t>YES</t>
        </is>
      </c>
      <c r="H7" s="24" t="inlineStr">
        <is>
          <t>none - still 4 KB</t>
        </is>
      </c>
      <c r="I7" s="25" t="inlineStr">
        <is>
          <t>GRD-03</t>
        </is>
      </c>
      <c r="J7" s="50" t="inlineStr">
        <is>
          <t>0x10005000 - 0x10005FFF</t>
        </is>
      </c>
      <c r="K7" s="4" t="inlineStr">
        <is>
          <t>v3 s9 amendment required. AXI M04 must move 0x10002000 -&gt; 0x10004000. New guard GRD-02 at 0x10003000.</t>
        </is>
      </c>
    </row>
    <row customHeight="1" ht="46" r="8">
      <c r="A8" s="36" t="inlineStr">
        <is>
          <t>MMIO-04</t>
        </is>
      </c>
      <c r="B8" s="31" t="inlineStr">
        <is>
          <t>Network Telemetry Engine (NTE)</t>
        </is>
      </c>
      <c r="C8" s="33" t="n">
        <v>268447744</v>
      </c>
      <c r="D8" s="33" t="n">
        <v>268451839</v>
      </c>
      <c r="E8" s="33" t="n">
        <v>268460032</v>
      </c>
      <c r="F8" s="33" t="n">
        <v>268464127</v>
      </c>
      <c r="G8" s="68" t="inlineStr">
        <is>
          <t>YES</t>
        </is>
      </c>
      <c r="H8" s="35" t="inlineStr">
        <is>
          <t>none - still 4 KB</t>
        </is>
      </c>
      <c r="I8" s="36" t="inlineStr">
        <is>
          <t>GRD-04</t>
        </is>
      </c>
      <c r="J8" s="54" t="inlineStr">
        <is>
          <t>0x10007000 - 0x10007FFF</t>
        </is>
      </c>
      <c r="K8" s="32" t="inlineStr">
        <is>
          <t>v3 s9 amendment required. AXI M05 must move 0x10003000 -&gt; 0x10006000. NTE moves into what used to be the AES window.</t>
        </is>
      </c>
    </row>
    <row customHeight="1" ht="46" r="9">
      <c r="A9" s="25" t="inlineStr">
        <is>
          <t>MMIO-05</t>
        </is>
      </c>
      <c r="B9" s="21" t="inlineStr">
        <is>
          <t>AES-128 Accelerator</t>
        </is>
      </c>
      <c r="C9" s="22" t="n">
        <v>268451840</v>
      </c>
      <c r="D9" s="22" t="n">
        <v>268455935</v>
      </c>
      <c r="E9" s="22" t="n">
        <v>268468224</v>
      </c>
      <c r="F9" s="22" t="n">
        <v>268472319</v>
      </c>
      <c r="G9" s="68" t="inlineStr">
        <is>
          <t>YES</t>
        </is>
      </c>
      <c r="H9" s="24" t="inlineStr">
        <is>
          <t>none - still 4 KB</t>
        </is>
      </c>
      <c r="I9" s="25" t="inlineStr">
        <is>
          <t>GRD-05</t>
        </is>
      </c>
      <c r="J9" s="50" t="inlineStr">
        <is>
          <t>0x10009000 - 0x10009FFF</t>
        </is>
      </c>
      <c r="K9" s="4" t="inlineStr">
        <is>
          <t>MOST DISRUPTIVE. v3 s9 amendment required. The verified AES regression logged M06 = 0x10004000, which is now the GPIO window - the known-answer vector must be re-proved at 0x10008000.</t>
        </is>
      </c>
    </row>
    <row customHeight="1" ht="46" r="10">
      <c r="A10" s="36" t="inlineStr">
        <is>
          <t>MMIO-06</t>
        </is>
      </c>
      <c r="B10" s="31" t="inlineStr">
        <is>
          <t>CRC-32 / FCS Checker</t>
        </is>
      </c>
      <c r="C10" s="33" t="n">
        <v>268455936</v>
      </c>
      <c r="D10" s="33" t="n">
        <v>268460031</v>
      </c>
      <c r="E10" s="33" t="n">
        <v>268476416</v>
      </c>
      <c r="F10" s="33" t="n">
        <v>268480511</v>
      </c>
      <c r="G10" s="68" t="inlineStr">
        <is>
          <t>YES</t>
        </is>
      </c>
      <c r="H10" s="35" t="inlineStr">
        <is>
          <t>none - still 4 KB</t>
        </is>
      </c>
      <c r="I10" s="36" t="inlineStr">
        <is>
          <t>GRD-06</t>
        </is>
      </c>
      <c r="J10" s="54" t="inlineStr">
        <is>
          <t>0x1000B000 - 0x1000BFFF</t>
        </is>
      </c>
      <c r="K10" s="32" t="inlineStr">
        <is>
          <t>v3 s9 amendment required. AXI M07 must move 0x10005000 -&gt; 0x1000A000.</t>
        </is>
      </c>
    </row>
    <row customHeight="1" ht="46" r="11">
      <c r="A11" s="25" t="inlineStr">
        <is>
          <t>MMIO-07</t>
        </is>
      </c>
      <c r="B11" s="21" t="inlineStr">
        <is>
          <t>Ethernet MAC</t>
        </is>
      </c>
      <c r="C11" s="22" t="n">
        <v>268460032</v>
      </c>
      <c r="D11" s="22" t="n">
        <v>268464127</v>
      </c>
      <c r="E11" s="22" t="n">
        <v>268484608</v>
      </c>
      <c r="F11" s="22" t="n">
        <v>268488703</v>
      </c>
      <c r="G11" s="68" t="inlineStr">
        <is>
          <t>YES</t>
        </is>
      </c>
      <c r="H11" s="24" t="inlineStr">
        <is>
          <t>none - still 4 KB</t>
        </is>
      </c>
      <c r="I11" s="25" t="inlineStr">
        <is>
          <t>GRD-07</t>
        </is>
      </c>
      <c r="J11" s="50" t="inlineStr">
        <is>
          <t>0x1000D000 - 0x1000DFFF</t>
        </is>
      </c>
      <c r="K11" s="4" t="inlineStr">
        <is>
          <t>Plan s18 candidate value superseded. Now isolated by GRD-06 below and GRD-07 above.</t>
        </is>
      </c>
    </row>
    <row customHeight="1" ht="46" r="12">
      <c r="A12" s="36" t="inlineStr">
        <is>
          <t>MMIO-08</t>
        </is>
      </c>
      <c r="B12" s="31" t="inlineStr">
        <is>
          <t>Hardware Timestamp Unit</t>
        </is>
      </c>
      <c r="C12" s="33" t="n">
        <v>268464128</v>
      </c>
      <c r="D12" s="33" t="n">
        <v>268468223</v>
      </c>
      <c r="E12" s="33" t="n">
        <v>268492800</v>
      </c>
      <c r="F12" s="33" t="n">
        <v>268496895</v>
      </c>
      <c r="G12" s="68" t="inlineStr">
        <is>
          <t>YES</t>
        </is>
      </c>
      <c r="H12" s="35" t="inlineStr">
        <is>
          <t>none - still 4 KB</t>
        </is>
      </c>
      <c r="I12" s="36" t="inlineStr">
        <is>
          <t>GRD-08</t>
        </is>
      </c>
      <c r="J12" s="54" t="inlineStr">
        <is>
          <t>0x1000F000 - 0x1000FFFF</t>
        </is>
      </c>
      <c r="K12" s="32" t="inlineStr">
        <is>
          <t>Plan s18 candidate value superseded. Now isolated by GRD-07 below and GRD-08 above.</t>
        </is>
      </c>
    </row>
    <row customHeight="1" ht="46" r="13">
      <c r="A13" s="25" t="inlineStr">
        <is>
          <t>MMIO-09</t>
        </is>
      </c>
      <c r="B13" s="21" t="inlineStr">
        <is>
          <t>Packet / Flow Buffer</t>
        </is>
      </c>
      <c r="C13" s="22" t="n">
        <v>268468224</v>
      </c>
      <c r="D13" s="22" t="n">
        <v>268472319</v>
      </c>
      <c r="E13" s="22" t="n">
        <v>268500992</v>
      </c>
      <c r="F13" s="22" t="n">
        <v>268505087</v>
      </c>
      <c r="G13" s="68" t="inlineStr">
        <is>
          <t>YES</t>
        </is>
      </c>
      <c r="H13" s="24" t="inlineStr">
        <is>
          <t>none - still 4 KB</t>
        </is>
      </c>
      <c r="I13" s="25" t="inlineStr">
        <is>
          <t>GRD-09</t>
        </is>
      </c>
      <c r="J13" s="50" t="inlineStr">
        <is>
          <t>0x10011000 - 0x10011FFF</t>
        </is>
      </c>
      <c r="K13" s="4" t="inlineStr">
        <is>
          <t>Plan s18 candidate value superseded. Note Rev B put the Buffer at 0x10010000, i.e. past the 16-bit-peripheral region - confirm the AXI address width is 32.</t>
        </is>
      </c>
    </row>
    <row customHeight="1" ht="46" r="14">
      <c r="A14" s="36" t="inlineStr">
        <is>
          <t>MMIO-10</t>
        </is>
      </c>
      <c r="B14" s="31" t="inlineStr">
        <is>
          <t>DMA Controller</t>
        </is>
      </c>
      <c r="C14" s="33" t="n">
        <v>268472320</v>
      </c>
      <c r="D14" s="33" t="n">
        <v>268476415</v>
      </c>
      <c r="E14" s="33" t="n">
        <v>268509184</v>
      </c>
      <c r="F14" s="33" t="n">
        <v>268513279</v>
      </c>
      <c r="G14" s="68" t="inlineStr">
        <is>
          <t>YES</t>
        </is>
      </c>
      <c r="H14" s="35" t="inlineStr">
        <is>
          <t>none - still 4 KB</t>
        </is>
      </c>
      <c r="I14" s="36" t="inlineStr">
        <is>
          <t>GRD-10</t>
        </is>
      </c>
      <c r="J14" s="54" t="inlineStr">
        <is>
          <t>0x10013000 - 0x10013FFF</t>
        </is>
      </c>
      <c r="K14" s="32" t="inlineStr">
        <is>
          <t>Plan s18 candidate value superseded. Now isolated by GRD-09 below and GRD-10 above.</t>
        </is>
      </c>
    </row>
    <row customHeight="1" ht="46" r="15">
      <c r="A15" s="25" t="inlineStr">
        <is>
          <t>MMIO-11</t>
        </is>
      </c>
      <c r="B15" s="21" t="inlineStr">
        <is>
          <t>SHA-256 Accelerator</t>
        </is>
      </c>
      <c r="C15" s="22" t="n">
        <v>268476416</v>
      </c>
      <c r="D15" s="22" t="n">
        <v>268480511</v>
      </c>
      <c r="E15" s="22" t="n">
        <v>268517376</v>
      </c>
      <c r="F15" s="22" t="n">
        <v>268521471</v>
      </c>
      <c r="G15" s="68" t="inlineStr">
        <is>
          <t>YES</t>
        </is>
      </c>
      <c r="H15" s="24" t="inlineStr">
        <is>
          <t>none - still 4 KB</t>
        </is>
      </c>
      <c r="I15" s="25" t="inlineStr">
        <is>
          <t>GRD-11</t>
        </is>
      </c>
      <c r="J15" s="50" t="inlineStr">
        <is>
          <t>0x10015000 - 0x10015FFF</t>
        </is>
      </c>
      <c r="K15" s="4" t="inlineStr">
        <is>
          <t>Plan s18 candidate value superseded. Now isolated by GRD-10 below and GRD-11 above.</t>
        </is>
      </c>
    </row>
    <row customHeight="1" ht="46" r="16">
      <c r="A16" s="36" t="inlineStr">
        <is>
          <t>MMIO-12</t>
        </is>
      </c>
      <c r="B16" s="31" t="inlineStr">
        <is>
          <t>Packet Parser / Classifier</t>
        </is>
      </c>
      <c r="C16" s="33" t="n">
        <v>268480512</v>
      </c>
      <c r="D16" s="33" t="n">
        <v>268484607</v>
      </c>
      <c r="E16" s="33" t="n">
        <v>268525568</v>
      </c>
      <c r="F16" s="33" t="n">
        <v>268529663</v>
      </c>
      <c r="G16" s="68" t="inlineStr">
        <is>
          <t>YES</t>
        </is>
      </c>
      <c r="H16" s="35" t="inlineStr">
        <is>
          <t>none - still 4 KB</t>
        </is>
      </c>
      <c r="I16" s="36" t="inlineStr">
        <is>
          <t>GRD-12</t>
        </is>
      </c>
      <c r="J16" s="54" t="inlineStr">
        <is>
          <t>0x10017000 - 0x10017FFF</t>
        </is>
      </c>
      <c r="K16" s="32" t="inlineStr">
        <is>
          <t>Plan s18 candidate value superseded. Now isolated by GRD-11 below and GRD-12 above.</t>
        </is>
      </c>
    </row>
    <row customHeight="1" ht="46" r="17">
      <c r="A17" s="25" t="inlineStr">
        <is>
          <t>MMIO-13</t>
        </is>
      </c>
      <c r="B17" s="21" t="inlineStr">
        <is>
          <t>Watchdog Timer</t>
        </is>
      </c>
      <c r="C17" s="22" t="n">
        <v>268484608</v>
      </c>
      <c r="D17" s="22" t="n">
        <v>268488703</v>
      </c>
      <c r="E17" s="22" t="n">
        <v>268533760</v>
      </c>
      <c r="F17" s="22" t="n">
        <v>268537855</v>
      </c>
      <c r="G17" s="68" t="inlineStr">
        <is>
          <t>YES</t>
        </is>
      </c>
      <c r="H17" s="24" t="inlineStr">
        <is>
          <t>none - still 4 KB</t>
        </is>
      </c>
      <c r="I17" s="25" t="inlineStr">
        <is>
          <t>GRD-13</t>
        </is>
      </c>
      <c r="J17" s="50" t="inlineStr">
        <is>
          <t>0x10019000 - 0x10019FFF</t>
        </is>
      </c>
      <c r="K17" s="4" t="inlineStr">
        <is>
          <t>Provisional in both revisions; shifted. Confirm scope.</t>
        </is>
      </c>
    </row>
    <row customHeight="1" ht="46" r="18">
      <c r="A18" s="36" t="inlineStr">
        <is>
          <t>MMIO-14</t>
        </is>
      </c>
      <c r="B18" s="31" t="inlineStr">
        <is>
          <t>PRNG</t>
        </is>
      </c>
      <c r="C18" s="33" t="n">
        <v>268488704</v>
      </c>
      <c r="D18" s="33" t="n">
        <v>268492799</v>
      </c>
      <c r="E18" s="33" t="n">
        <v>268541952</v>
      </c>
      <c r="F18" s="33" t="n">
        <v>268546047</v>
      </c>
      <c r="G18" s="68" t="inlineStr">
        <is>
          <t>YES</t>
        </is>
      </c>
      <c r="H18" s="35" t="inlineStr">
        <is>
          <t>none - still 4 KB</t>
        </is>
      </c>
      <c r="I18" s="36" t="inlineStr">
        <is>
          <t>GRD-14</t>
        </is>
      </c>
      <c r="J18" s="54" t="inlineStr">
        <is>
          <t>0x1001B000 - 0x1001BFFF</t>
        </is>
      </c>
      <c r="K18" s="32" t="inlineStr">
        <is>
          <t>Provisional in both revisions; shifted. Confirm scope.</t>
        </is>
      </c>
    </row>
    <row customHeight="1" ht="46" r="19">
      <c r="A19" s="25" t="inlineStr">
        <is>
          <t>MMIO-15</t>
        </is>
      </c>
      <c r="B19" s="21" t="inlineStr">
        <is>
          <t>SPI Master</t>
        </is>
      </c>
      <c r="C19" s="22" t="n">
        <v>268492800</v>
      </c>
      <c r="D19" s="22" t="n">
        <v>268496895</v>
      </c>
      <c r="E19" s="22" t="n">
        <v>268550144</v>
      </c>
      <c r="F19" s="22" t="n">
        <v>268554239</v>
      </c>
      <c r="G19" s="68" t="inlineStr">
        <is>
          <t>YES</t>
        </is>
      </c>
      <c r="H19" s="24" t="inlineStr">
        <is>
          <t>none - still 4 KB</t>
        </is>
      </c>
      <c r="I19" s="25" t="inlineStr">
        <is>
          <t>GRD-15</t>
        </is>
      </c>
      <c r="J19" s="50" t="inlineStr">
        <is>
          <t>0x1001D000 - 0x1001DFFF</t>
        </is>
      </c>
      <c r="K19" s="4" t="inlineStr">
        <is>
          <t>Provisional in both revisions; shifted. Optional block.</t>
        </is>
      </c>
    </row>
    <row customHeight="1" ht="46" r="20">
      <c r="A20" s="36" t="inlineStr">
        <is>
          <t>MMIO-16</t>
        </is>
      </c>
      <c r="B20" s="31" t="inlineStr">
        <is>
          <t>Reserved for expansion</t>
        </is>
      </c>
      <c r="C20" s="33" t="n">
        <v>268496896</v>
      </c>
      <c r="D20" s="33" t="n">
        <v>268500991</v>
      </c>
      <c r="E20" s="33" t="n">
        <v>268558336</v>
      </c>
      <c r="F20" s="33" t="n">
        <v>268562431</v>
      </c>
      <c r="G20" s="68" t="inlineStr">
        <is>
          <t>YES</t>
        </is>
      </c>
      <c r="H20" s="35" t="inlineStr">
        <is>
          <t>none - still 4 KB</t>
        </is>
      </c>
      <c r="I20" s="36" t="inlineStr">
        <is>
          <t>GRD-16</t>
        </is>
      </c>
      <c r="J20" s="54" t="inlineStr">
        <is>
          <t>0x1001F000 - 0x1001FFFF</t>
        </is>
      </c>
      <c r="K20" s="32" t="inlineStr">
        <is>
          <t>Held unassigned in both revisions; shifted. Intentionally undecoded.</t>
        </is>
      </c>
    </row>
    <row customHeight="1" ht="34" r="22">
      <c r="A22" s="48" t="inlineStr">
        <is>
          <t>SUMMARY.  15 of 16 windows moved; UART is the only fixed point. Peripheral aperture grew from 0x10000000-0x1000FFFF (64 KB) to 0x10000000-0x1001FFFF (128 KB). 16 guard windows added, totalling 65,536 bytes of deliberately undecoded space. Register OFFSETS are unchanged everywhere - only window bases moved, so no driver logic changes, only the base constants.</t>
        </is>
      </c>
      <c r="B22" s="44" t="n"/>
      <c r="C22" s="44" t="n"/>
      <c r="D22" s="44" t="n"/>
      <c r="E22" s="44" t="n"/>
      <c r="F22" s="44" t="n"/>
      <c r="G22" s="44" t="n"/>
      <c r="H22" s="44" t="n"/>
      <c r="I22" s="44" t="n"/>
      <c r="J22" s="44" t="n"/>
      <c r="K22" s="45" t="n"/>
    </row>
  </sheetData>
  <autoFilter ref="A4:K20"/>
  <mergeCells count="3">
    <mergeCell ref="A2:K2"/>
    <mergeCell ref="A22:K22"/>
    <mergeCell ref="A1:K1"/>
  </mergeCells>
  <printOptions horizontalCentered="1"/>
  <pageMargins bottom="0.4" footer="0.5" header="0.5" left="0.3" right="0.3" top="0.4"/>
  <pageSetup fitToHeight="0" fitToWidth="1" orientation="landscape"/>
  <headerFooter>
    <oddHeader/>
    <oddFooter>&amp;C&amp;8 &amp;A  |  Rev B (Re-pitched MMIO aperture, draft for Architecture Freeze)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2026-10-03T07:11:28Z</dcterms:created>
  <dcterms:modified xsi:type="dcterms:W3CDTF">2026-10-03T07:11:28Z</dcterms:modified>
</cp:coreProperties>
</file>